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EOINFOTECH\Documents\Cost of living map\Nigeria_Inflation_Project\Data\Raw\Transport Cost\2024\"/>
    </mc:Choice>
  </mc:AlternateContent>
  <xr:revisionPtr revIDLastSave="0" documentId="13_ncr:1_{D7177F3A-FCE0-4523-99AD-1C873C9C7459}" xr6:coauthVersionLast="36" xr6:coauthVersionMax="47" xr10:uidLastSave="{00000000-0000-0000-0000-000000000000}"/>
  <bookViews>
    <workbookView xWindow="11520" yWindow="216" windowWidth="11208" windowHeight="11880" firstSheet="1" activeTab="1" xr2:uid="{F3A4D52D-6583-40A2-B6AB-218718EB0CB6}"/>
  </bookViews>
  <sheets>
    <sheet name="Transport December 2024" sheetId="1" r:id="rId1"/>
    <sheet name="State Transpor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" i="1" l="1"/>
  <c r="F36" i="1"/>
  <c r="E36" i="1"/>
  <c r="F35" i="1"/>
  <c r="E35" i="1"/>
  <c r="F34" i="1"/>
  <c r="E34" i="1"/>
  <c r="F33" i="1"/>
  <c r="E33" i="1"/>
  <c r="F32" i="1"/>
  <c r="E32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<sst xmlns="http://schemas.openxmlformats.org/spreadsheetml/2006/main" count="89" uniqueCount="65">
  <si>
    <t>Zone</t>
  </si>
  <si>
    <t>MoM</t>
  </si>
  <si>
    <t>YoY</t>
  </si>
  <si>
    <t>Air fare charg.for specified routes single journey</t>
  </si>
  <si>
    <t>NORTH CENTRAL</t>
  </si>
  <si>
    <t>NORTH EAST</t>
  </si>
  <si>
    <t>NORTH WEST</t>
  </si>
  <si>
    <t>SOUTH EAST</t>
  </si>
  <si>
    <t>SOUTH SOUTH</t>
  </si>
  <si>
    <t>SOUTH WEST</t>
  </si>
  <si>
    <t>Bus journey intercity, state route, charg. per per</t>
  </si>
  <si>
    <t>Bus journey within  city , per  drop constant  rou</t>
  </si>
  <si>
    <t>Journey by motorcycle (okada) per drop</t>
  </si>
  <si>
    <t>Water transport : water way passenger  transportat</t>
  </si>
  <si>
    <t>Average of Nov-24</t>
  </si>
  <si>
    <t>Average of Dec-23</t>
  </si>
  <si>
    <t>Average of Dec-24</t>
  </si>
  <si>
    <t>Air fare charge  (December)</t>
  </si>
  <si>
    <t>Bus journey within  city (December)</t>
  </si>
  <si>
    <t>Journey by motorcycle (okada) (December)</t>
  </si>
  <si>
    <t>Water transport (December)</t>
  </si>
  <si>
    <t>Bus journey intercity, state route. (December)</t>
  </si>
  <si>
    <t>Air fare charge (November)</t>
  </si>
  <si>
    <t>Bus journey intercity, state route. (November)</t>
  </si>
  <si>
    <t>Bus journey within  city (November)</t>
  </si>
  <si>
    <t>Journey by motorcycle (okada) (November)</t>
  </si>
  <si>
    <t>Water transport (November)</t>
  </si>
  <si>
    <t>Abia</t>
  </si>
  <si>
    <t>Adamawa</t>
  </si>
  <si>
    <t>Akwa Ibom</t>
  </si>
  <si>
    <t>Anambra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</si>
  <si>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</si>
  <si>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</si>
  <si>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</si>
  <si>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</si>
  <si>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</si>
  <si>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</si>
  <si>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</si>
  <si>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</si>
  <si>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</si>
  <si>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</si>
  <si>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</si>
  <si>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</si>
  <si>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</si>
  <si>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</si>
  <si>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</si>
  <si>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</si>
  <si>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</si>
  <si>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</si>
  <si>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</si>
  <si>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</si>
  <si>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</si>
  <si>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</si>
  <si>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</si>
  <si>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</si>
  <si>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</si>
  <si>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</si>
  <si>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</si>
  <si>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</si>
  <si>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</si>
  <si>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</si>
  <si>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</si>
  <si>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Federal Capital Territory</t>
  </si>
  <si>
    <t>NAME_1</t>
  </si>
  <si>
    <t>Bauchi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</si>
</sst>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orbel"/>
      <family val="2"/>
    </font>
    <font>
      <b/>
      <sz val="11"/>
      <color theme="1"/>
      <name val="Corbel"/>
      <family val="2"/>
    </font>
    <font>
      <sz val="10"/>
      <color theme="1"/>
      <name val="Corbel"/>
      <family val="2"/>
    </font>
    <font>
      <sz val="11"/>
      <color theme="1"/>
      <name val="Corbe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1" fillId="0" borderId="0" xfId="1"/>
    <xf numFmtId="43" fontId="2" fillId="0" borderId="1" xfId="2" applyFont="1" applyBorder="1"/>
    <xf numFmtId="0" fontId="4" fillId="0" borderId="1" xfId="1" applyFont="1" applyBorder="1"/>
    <xf numFmtId="43" fontId="4" fillId="0" borderId="1" xfId="2" applyFont="1" applyBorder="1"/>
    <xf numFmtId="0" fontId="3" fillId="4" borderId="1" xfId="1" applyFont="1" applyFill="1" applyBorder="1"/>
    <xf numFmtId="0" fontId="3" fillId="4" borderId="1" xfId="1" applyFont="1" applyFill="1" applyBorder="1" applyAlignment="1">
      <alignment wrapText="1"/>
    </xf>
    <xf numFmtId="0" fontId="5" fillId="0" borderId="3" xfId="1" applyFont="1" applyBorder="1" applyAlignment="1">
      <alignment horizontal="left"/>
    </xf>
    <xf numFmtId="2" fontId="5" fillId="0" borderId="0" xfId="0" applyNumberFormat="1" applyFont="1"/>
    <xf numFmtId="2" fontId="5" fillId="0" borderId="4" xfId="0" applyNumberFormat="1" applyFont="1" applyBorder="1"/>
    <xf numFmtId="0" fontId="2" fillId="0" borderId="1" xfId="1" applyFont="1" applyBorder="1" applyAlignment="1">
      <alignment wrapText="1"/>
    </xf>
    <xf numFmtId="0" fontId="5" fillId="0" borderId="0" xfId="1" applyFont="1"/>
    <xf numFmtId="2" fontId="3" fillId="0" borderId="1" xfId="0" applyNumberFormat="1" applyFont="1" applyBorder="1"/>
    <xf numFmtId="2" fontId="5" fillId="0" borderId="1" xfId="0" applyNumberFormat="1" applyFont="1" applyBorder="1"/>
    <xf numFmtId="2" fontId="6" fillId="0" borderId="2" xfId="0" applyNumberFormat="1" applyFont="1" applyBorder="1"/>
    <xf numFmtId="2" fontId="0" fillId="0" borderId="0" xfId="0" applyNumberFormat="1"/>
  </cellXfs>
  <cellStyles count="3">
    <cellStyle name="Comma 3" xfId="2" xr:uid="{2D236B16-872B-4A0D-8AC7-669D81AF4586}"/>
    <cellStyle name="Normal" xfId="0" builtinId="0"/>
    <cellStyle name="Normal 3" xfId="1" xr:uid="{2D02DCDF-59A3-4079-9EDE-2B8D56E997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0D9C-67D4-4748-86DD-13F042B7D88F}">
  <sheetPr codeName="Sheet1"/>
  <dimension ref="A1:I36"/>
  <sheetViews>
    <sheetView topLeftCell="A13" workbookViewId="0">
      <selection activeCell="F32" sqref="F32"/>
    </sheetView>
  </sheetViews>
  <sheetFormatPr defaultRowHeight="14.4" x14ac:dyDescent="0.3"/>
  <cols>
    <col min="1" max="1" width="25.44140625" style="13" customWidth="1"/>
    <col min="2" max="2" width="15.77734375" style="13" bestFit="1" customWidth="1"/>
    <col min="3" max="3" width="16.6640625" style="13" bestFit="1" customWidth="1"/>
    <col min="4" max="4" width="15.88671875" style="13" bestFit="1" customWidth="1"/>
    <col min="5" max="5" width="6.6640625" style="13" bestFit="1" customWidth="1"/>
    <col min="6" max="6" width="6.88671875" style="13" bestFit="1" customWidth="1"/>
    <col min="7" max="7" width="11.21875" style="13" customWidth="1"/>
    <col min="8" max="9" width="9.5546875" style="13" bestFit="1" customWidth="1"/>
    <col min="10" max="16384" width="8.88671875" style="13"/>
  </cols>
  <sheetData>
    <row r="1" spans="1:9" x14ac:dyDescent="0.3">
      <c r="A1" s="1" t="s">
        <v>0</v>
      </c>
      <c r="B1" s="1" t="s">
        <v>15</v>
      </c>
      <c r="C1" s="1" t="s">
        <v>14</v>
      </c>
      <c r="D1" s="1" t="s">
        <v>16</v>
      </c>
      <c r="E1" s="2" t="s">
        <v>1</v>
      </c>
      <c r="F1" s="2" t="s">
        <v>2</v>
      </c>
    </row>
    <row r="2" spans="1:9" ht="27.6" x14ac:dyDescent="0.3">
      <c r="A2" s="12" t="s">
        <v>3</v>
      </c>
      <c r="B2" s="14">
        <v>85692.117117117115</v>
      </c>
      <c r="C2" s="14">
        <v>126146.31378378377</v>
      </c>
      <c r="D2" s="14">
        <v>126514.82263772083</v>
      </c>
      <c r="E2" s="4">
        <f>(D2-C2)/C2*100</f>
        <v>0.29212811923199838</v>
      </c>
      <c r="F2" s="4">
        <f>(D2-B2)/B2*100</f>
        <v>47.638810772769816</v>
      </c>
      <c r="G2" s="16"/>
      <c r="H2" s="16"/>
      <c r="I2" s="16"/>
    </row>
    <row r="3" spans="1:9" x14ac:dyDescent="0.3">
      <c r="A3" s="5" t="s">
        <v>4</v>
      </c>
      <c r="B3" s="15">
        <v>82157.142857142855</v>
      </c>
      <c r="C3" s="15">
        <v>126333.31571428571</v>
      </c>
      <c r="D3" s="15">
        <v>126811.31095678978</v>
      </c>
      <c r="E3" s="6">
        <f t="shared" ref="E3:E36" si="0">(D3-C3)/C3*100</f>
        <v>0.37836040303501417</v>
      </c>
      <c r="F3" s="6">
        <f t="shared" ref="F3:F36" si="1">(D3-B3)/B3*100</f>
        <v>54.352143400717864</v>
      </c>
      <c r="G3" s="17"/>
      <c r="H3" s="17"/>
      <c r="I3" s="17"/>
    </row>
    <row r="4" spans="1:9" x14ac:dyDescent="0.3">
      <c r="A4" s="5" t="s">
        <v>5</v>
      </c>
      <c r="B4" s="15">
        <v>86750</v>
      </c>
      <c r="C4" s="15">
        <v>126198.44166666667</v>
      </c>
      <c r="D4" s="15">
        <v>126754.46591100794</v>
      </c>
      <c r="E4" s="6">
        <f t="shared" si="0"/>
        <v>0.44059517455050856</v>
      </c>
      <c r="F4" s="6">
        <f t="shared" si="1"/>
        <v>46.114658110671975</v>
      </c>
      <c r="G4" s="17"/>
      <c r="H4" s="17"/>
      <c r="I4" s="17"/>
    </row>
    <row r="5" spans="1:9" x14ac:dyDescent="0.3">
      <c r="A5" s="5" t="s">
        <v>6</v>
      </c>
      <c r="B5" s="15">
        <v>85357.142857142855</v>
      </c>
      <c r="C5" s="15">
        <v>125779.94571428571</v>
      </c>
      <c r="D5" s="15">
        <v>126209.58820987632</v>
      </c>
      <c r="E5" s="6">
        <f t="shared" si="0"/>
        <v>0.34158266896263562</v>
      </c>
      <c r="F5" s="6">
        <f t="shared" si="1"/>
        <v>47.860605434164739</v>
      </c>
      <c r="G5" s="17"/>
      <c r="H5" s="17"/>
      <c r="I5" s="17"/>
    </row>
    <row r="6" spans="1:9" x14ac:dyDescent="0.3">
      <c r="A6" s="5" t="s">
        <v>7</v>
      </c>
      <c r="B6" s="15">
        <v>84800</v>
      </c>
      <c r="C6" s="15">
        <v>126165.23599999999</v>
      </c>
      <c r="D6" s="15">
        <v>126358.51679012345</v>
      </c>
      <c r="E6" s="6">
        <f t="shared" si="0"/>
        <v>0.15319655100828472</v>
      </c>
      <c r="F6" s="6">
        <f t="shared" si="1"/>
        <v>49.007684894013501</v>
      </c>
      <c r="G6" s="17"/>
      <c r="H6" s="17"/>
      <c r="I6" s="17"/>
    </row>
    <row r="7" spans="1:9" x14ac:dyDescent="0.3">
      <c r="A7" s="5" t="s">
        <v>8</v>
      </c>
      <c r="B7" s="15">
        <v>88918.055555555547</v>
      </c>
      <c r="C7" s="15">
        <v>125695.935</v>
      </c>
      <c r="D7" s="15">
        <v>125892.82793724241</v>
      </c>
      <c r="E7" s="6">
        <f t="shared" si="0"/>
        <v>0.15664224721540695</v>
      </c>
      <c r="F7" s="6">
        <f t="shared" si="1"/>
        <v>41.582974515884708</v>
      </c>
      <c r="G7" s="17"/>
      <c r="H7" s="17"/>
      <c r="I7" s="17"/>
    </row>
    <row r="8" spans="1:9" x14ac:dyDescent="0.3">
      <c r="A8" s="5" t="s">
        <v>9</v>
      </c>
      <c r="B8" s="15">
        <v>86666.666666666672</v>
      </c>
      <c r="C8" s="15">
        <v>126738.05666666666</v>
      </c>
      <c r="D8" s="15">
        <v>127037.63273148144</v>
      </c>
      <c r="E8" s="6">
        <f t="shared" si="0"/>
        <v>0.236374197848637</v>
      </c>
      <c r="F8" s="6">
        <f t="shared" si="1"/>
        <v>46.581883920940115</v>
      </c>
      <c r="G8" s="17"/>
      <c r="H8" s="17"/>
      <c r="I8" s="17"/>
    </row>
    <row r="9" spans="1:9" ht="27.6" x14ac:dyDescent="0.3">
      <c r="A9" s="12" t="s">
        <v>10</v>
      </c>
      <c r="B9" s="14">
        <v>7402.1621621621625</v>
      </c>
      <c r="C9" s="14">
        <v>7201.8191891891875</v>
      </c>
      <c r="D9" s="14">
        <v>7571.9603137303948</v>
      </c>
      <c r="E9" s="4">
        <f t="shared" si="0"/>
        <v>5.1395503666189581</v>
      </c>
      <c r="F9" s="4">
        <f t="shared" si="1"/>
        <v>2.2938993749176984</v>
      </c>
      <c r="G9" s="16"/>
      <c r="H9" s="16"/>
      <c r="I9" s="16"/>
    </row>
    <row r="10" spans="1:9" x14ac:dyDescent="0.3">
      <c r="A10" s="5" t="s">
        <v>4</v>
      </c>
      <c r="B10" s="15">
        <v>7011.4285714285716</v>
      </c>
      <c r="C10" s="15">
        <v>6908.2714285714292</v>
      </c>
      <c r="D10" s="15">
        <v>7391.2847442680768</v>
      </c>
      <c r="E10" s="6">
        <f t="shared" si="0"/>
        <v>6.9918114927995907</v>
      </c>
      <c r="F10" s="6">
        <f t="shared" si="1"/>
        <v>5.4176715767655592</v>
      </c>
      <c r="G10" s="17"/>
      <c r="H10" s="17"/>
      <c r="I10" s="17"/>
    </row>
    <row r="11" spans="1:9" x14ac:dyDescent="0.3">
      <c r="A11" s="5" t="s">
        <v>5</v>
      </c>
      <c r="B11" s="15">
        <v>7383.333333333333</v>
      </c>
      <c r="C11" s="15">
        <v>7122.746666666666</v>
      </c>
      <c r="D11" s="15">
        <v>7161.049779320987</v>
      </c>
      <c r="E11" s="6">
        <f t="shared" si="0"/>
        <v>0.53775761580253234</v>
      </c>
      <c r="F11" s="6">
        <f t="shared" si="1"/>
        <v>-3.0106124696931742</v>
      </c>
      <c r="G11" s="17"/>
      <c r="H11" s="17"/>
      <c r="I11" s="17"/>
    </row>
    <row r="12" spans="1:9" x14ac:dyDescent="0.3">
      <c r="A12" s="5" t="s">
        <v>6</v>
      </c>
      <c r="B12" s="15">
        <v>7142.8571428571431</v>
      </c>
      <c r="C12" s="15">
        <v>7110.6742857142863</v>
      </c>
      <c r="D12" s="15">
        <v>7154.6261838624323</v>
      </c>
      <c r="E12" s="6">
        <f t="shared" si="0"/>
        <v>0.61811153741703051</v>
      </c>
      <c r="F12" s="6">
        <f t="shared" si="1"/>
        <v>0.16476657407404854</v>
      </c>
      <c r="G12" s="17"/>
      <c r="H12" s="17"/>
      <c r="I12" s="17"/>
    </row>
    <row r="13" spans="1:9" x14ac:dyDescent="0.3">
      <c r="A13" s="5" t="s">
        <v>7</v>
      </c>
      <c r="B13" s="15">
        <v>7800</v>
      </c>
      <c r="C13" s="15">
        <v>7372.3339999999998</v>
      </c>
      <c r="D13" s="15">
        <v>8020.4990833333341</v>
      </c>
      <c r="E13" s="6">
        <f t="shared" si="0"/>
        <v>8.7918572779439224</v>
      </c>
      <c r="F13" s="6">
        <f t="shared" si="1"/>
        <v>2.8269113247863338</v>
      </c>
      <c r="G13" s="17"/>
      <c r="H13" s="17"/>
      <c r="I13" s="17"/>
    </row>
    <row r="14" spans="1:9" x14ac:dyDescent="0.3">
      <c r="A14" s="5" t="s">
        <v>8</v>
      </c>
      <c r="B14" s="15">
        <v>8083.333333333333</v>
      </c>
      <c r="C14" s="15">
        <v>7724.69</v>
      </c>
      <c r="D14" s="15">
        <v>7785.6891203703699</v>
      </c>
      <c r="E14" s="6">
        <f t="shared" si="0"/>
        <v>0.78966431494817657</v>
      </c>
      <c r="F14" s="6">
        <f t="shared" si="1"/>
        <v>-3.6821964490263479</v>
      </c>
      <c r="G14" s="17"/>
      <c r="H14" s="17"/>
      <c r="I14" s="17"/>
    </row>
    <row r="15" spans="1:9" x14ac:dyDescent="0.3">
      <c r="A15" s="5" t="s">
        <v>9</v>
      </c>
      <c r="B15" s="15">
        <v>7166.666666666667</v>
      </c>
      <c r="C15" s="15">
        <v>7064.7333333333336</v>
      </c>
      <c r="D15" s="15">
        <v>8093.0377160493663</v>
      </c>
      <c r="E15" s="6">
        <f>(D15-C15)/C15*100</f>
        <v>14.555459267856763</v>
      </c>
      <c r="F15" s="6">
        <f t="shared" si="1"/>
        <v>12.926107665805105</v>
      </c>
      <c r="G15" s="17"/>
      <c r="H15" s="17"/>
      <c r="I15" s="17"/>
    </row>
    <row r="16" spans="1:9" ht="27.6" x14ac:dyDescent="0.3">
      <c r="A16" s="12" t="s">
        <v>11</v>
      </c>
      <c r="B16" s="14">
        <v>902.70270270270271</v>
      </c>
      <c r="C16" s="14">
        <v>904.47054054054058</v>
      </c>
      <c r="D16" s="14">
        <v>923.83739706372978</v>
      </c>
      <c r="E16" s="4">
        <f t="shared" si="0"/>
        <v>2.1412368512981028</v>
      </c>
      <c r="F16" s="4">
        <f t="shared" si="1"/>
        <v>2.3412685370000053</v>
      </c>
      <c r="G16" s="16"/>
      <c r="H16" s="16"/>
      <c r="I16" s="16"/>
    </row>
    <row r="17" spans="1:9" x14ac:dyDescent="0.3">
      <c r="A17" s="5" t="s">
        <v>4</v>
      </c>
      <c r="B17" s="15">
        <v>892.85714285714289</v>
      </c>
      <c r="C17" s="15">
        <v>875.84142857142865</v>
      </c>
      <c r="D17" s="15">
        <v>897.83001543209866</v>
      </c>
      <c r="E17" s="6">
        <f t="shared" si="0"/>
        <v>2.5105671121923581</v>
      </c>
      <c r="F17" s="6">
        <f t="shared" si="1"/>
        <v>0.55696172839504654</v>
      </c>
      <c r="G17" s="17"/>
      <c r="H17" s="17"/>
      <c r="I17" s="17"/>
    </row>
    <row r="18" spans="1:9" x14ac:dyDescent="0.3">
      <c r="A18" s="5" t="s">
        <v>5</v>
      </c>
      <c r="B18" s="15">
        <v>925</v>
      </c>
      <c r="C18" s="15">
        <v>870.13333333333333</v>
      </c>
      <c r="D18" s="15">
        <v>889.10371450617197</v>
      </c>
      <c r="E18" s="6">
        <f t="shared" si="0"/>
        <v>2.1801694574975454</v>
      </c>
      <c r="F18" s="6">
        <f t="shared" si="1"/>
        <v>-3.8806795128462737</v>
      </c>
      <c r="G18" s="17"/>
      <c r="H18" s="17"/>
      <c r="I18" s="17"/>
    </row>
    <row r="19" spans="1:9" x14ac:dyDescent="0.3">
      <c r="A19" s="5" t="s">
        <v>6</v>
      </c>
      <c r="B19" s="15">
        <v>907.14285714285711</v>
      </c>
      <c r="C19" s="15">
        <v>911.52571428571434</v>
      </c>
      <c r="D19" s="15">
        <v>936.47848324514928</v>
      </c>
      <c r="E19" s="6">
        <f t="shared" si="0"/>
        <v>2.7374728511074764</v>
      </c>
      <c r="F19" s="6">
        <f t="shared" si="1"/>
        <v>3.2338485467093734</v>
      </c>
      <c r="G19" s="17"/>
      <c r="H19" s="17"/>
      <c r="I19" s="17"/>
    </row>
    <row r="20" spans="1:9" x14ac:dyDescent="0.3">
      <c r="A20" s="5" t="s">
        <v>7</v>
      </c>
      <c r="B20" s="15">
        <v>840</v>
      </c>
      <c r="C20" s="15">
        <v>895.92200000000014</v>
      </c>
      <c r="D20" s="15">
        <v>907.64823148148002</v>
      </c>
      <c r="E20" s="6">
        <f t="shared" si="0"/>
        <v>1.3088451317726191</v>
      </c>
      <c r="F20" s="6">
        <f t="shared" si="1"/>
        <v>8.0533608906523835</v>
      </c>
      <c r="G20" s="17"/>
      <c r="H20" s="17"/>
      <c r="I20" s="17"/>
    </row>
    <row r="21" spans="1:9" x14ac:dyDescent="0.3">
      <c r="A21" s="5" t="s">
        <v>8</v>
      </c>
      <c r="B21" s="15">
        <v>950</v>
      </c>
      <c r="C21" s="15">
        <v>927</v>
      </c>
      <c r="D21" s="15">
        <v>939.11228395061732</v>
      </c>
      <c r="E21" s="6">
        <f t="shared" si="0"/>
        <v>1.3066109979090965</v>
      </c>
      <c r="F21" s="6">
        <f t="shared" si="1"/>
        <v>-1.1460753736192291</v>
      </c>
      <c r="G21" s="17"/>
      <c r="H21" s="17"/>
      <c r="I21" s="17"/>
    </row>
    <row r="22" spans="1:9" x14ac:dyDescent="0.3">
      <c r="A22" s="5" t="s">
        <v>9</v>
      </c>
      <c r="B22" s="15">
        <v>891.66666666666663</v>
      </c>
      <c r="C22" s="15">
        <v>948.57166666666672</v>
      </c>
      <c r="D22" s="15">
        <v>972.38117541152178</v>
      </c>
      <c r="E22" s="6">
        <f t="shared" si="0"/>
        <v>2.5100379424701771</v>
      </c>
      <c r="F22" s="6">
        <f t="shared" si="1"/>
        <v>9.0520944386753435</v>
      </c>
      <c r="G22" s="17"/>
      <c r="H22" s="17"/>
      <c r="I22" s="17"/>
    </row>
    <row r="23" spans="1:9" ht="27.6" x14ac:dyDescent="0.3">
      <c r="A23" s="12" t="s">
        <v>12</v>
      </c>
      <c r="B23" s="14">
        <v>419.72972972972974</v>
      </c>
      <c r="C23" s="14">
        <v>543.83810810810803</v>
      </c>
      <c r="D23" s="14">
        <v>562.94526117784449</v>
      </c>
      <c r="E23" s="4">
        <f t="shared" si="0"/>
        <v>3.5133898829204884</v>
      </c>
      <c r="F23" s="4">
        <f t="shared" si="1"/>
        <v>34.1208928755972</v>
      </c>
      <c r="G23" s="16"/>
      <c r="H23" s="16"/>
      <c r="I23" s="16"/>
    </row>
    <row r="24" spans="1:9" x14ac:dyDescent="0.3">
      <c r="A24" s="5" t="s">
        <v>4</v>
      </c>
      <c r="B24" s="15">
        <v>414.28571428571428</v>
      </c>
      <c r="C24" s="15">
        <v>528.57142857142856</v>
      </c>
      <c r="D24" s="15">
        <v>549.72013447971779</v>
      </c>
      <c r="E24" s="6">
        <f t="shared" si="0"/>
        <v>4.001106523189855</v>
      </c>
      <c r="F24" s="6">
        <f t="shared" si="1"/>
        <v>32.691066943380157</v>
      </c>
      <c r="G24" s="17"/>
      <c r="H24" s="17"/>
      <c r="I24" s="17"/>
    </row>
    <row r="25" spans="1:9" x14ac:dyDescent="0.3">
      <c r="A25" s="5" t="s">
        <v>5</v>
      </c>
      <c r="B25" s="15">
        <v>450</v>
      </c>
      <c r="C25" s="15">
        <v>567.58000000000004</v>
      </c>
      <c r="D25" s="15">
        <v>586.80965586419745</v>
      </c>
      <c r="E25" s="6">
        <f t="shared" si="0"/>
        <v>3.38800801018313</v>
      </c>
      <c r="F25" s="6">
        <f t="shared" si="1"/>
        <v>30.402145747599434</v>
      </c>
      <c r="G25" s="17"/>
      <c r="H25" s="17"/>
      <c r="I25" s="17"/>
    </row>
    <row r="26" spans="1:9" x14ac:dyDescent="0.3">
      <c r="A26" s="5" t="s">
        <v>6</v>
      </c>
      <c r="B26" s="15">
        <v>357.14285714285717</v>
      </c>
      <c r="C26" s="15">
        <v>505.71428571428572</v>
      </c>
      <c r="D26" s="15">
        <v>527.8080313051147</v>
      </c>
      <c r="E26" s="6">
        <f t="shared" si="0"/>
        <v>4.3688197495989494</v>
      </c>
      <c r="F26" s="6">
        <f t="shared" si="1"/>
        <v>47.786248765432106</v>
      </c>
      <c r="G26" s="17"/>
      <c r="H26" s="17"/>
      <c r="I26" s="17"/>
    </row>
    <row r="27" spans="1:9" x14ac:dyDescent="0.3">
      <c r="A27" s="5" t="s">
        <v>7</v>
      </c>
      <c r="B27" s="15">
        <v>430</v>
      </c>
      <c r="C27" s="15">
        <v>507.71600000000001</v>
      </c>
      <c r="D27" s="15">
        <v>524.19450000000006</v>
      </c>
      <c r="E27" s="6">
        <f t="shared" si="0"/>
        <v>3.2456136895429832</v>
      </c>
      <c r="F27" s="6">
        <f t="shared" si="1"/>
        <v>21.905697674418619</v>
      </c>
      <c r="G27" s="17"/>
      <c r="H27" s="17"/>
      <c r="I27" s="17"/>
    </row>
    <row r="28" spans="1:9" x14ac:dyDescent="0.3">
      <c r="A28" s="5" t="s">
        <v>8</v>
      </c>
      <c r="B28" s="15">
        <v>391.66666666666669</v>
      </c>
      <c r="C28" s="15">
        <v>529.22500000000002</v>
      </c>
      <c r="D28" s="15">
        <v>546.02039094650206</v>
      </c>
      <c r="E28" s="6">
        <f t="shared" si="0"/>
        <v>3.1735823036519513</v>
      </c>
      <c r="F28" s="6">
        <f t="shared" si="1"/>
        <v>39.409461518255839</v>
      </c>
      <c r="G28" s="17"/>
      <c r="H28" s="17"/>
      <c r="I28" s="17"/>
    </row>
    <row r="29" spans="1:9" x14ac:dyDescent="0.3">
      <c r="A29" s="5" t="s">
        <v>9</v>
      </c>
      <c r="B29" s="15">
        <v>488.33333333333331</v>
      </c>
      <c r="C29" s="15">
        <v>627.1</v>
      </c>
      <c r="D29" s="15">
        <v>644.72078703703698</v>
      </c>
      <c r="E29" s="6">
        <f t="shared" si="0"/>
        <v>2.8098847132892621</v>
      </c>
      <c r="F29" s="6">
        <f t="shared" si="1"/>
        <v>32.024734546833514</v>
      </c>
      <c r="G29" s="17"/>
      <c r="H29" s="17"/>
      <c r="I29" s="17"/>
    </row>
    <row r="30" spans="1:9" ht="27.6" x14ac:dyDescent="0.3">
      <c r="A30" s="12" t="s">
        <v>13</v>
      </c>
      <c r="B30" s="14">
        <v>1386.7567567567567</v>
      </c>
      <c r="C30" s="14">
        <v>1487.928918918919</v>
      </c>
      <c r="D30" s="14">
        <v>1506.9801564898235</v>
      </c>
      <c r="E30" s="4">
        <f t="shared" si="0"/>
        <v>1.2803862690394188</v>
      </c>
      <c r="F30" s="4">
        <f t="shared" si="1"/>
        <v>8.6693934712989122</v>
      </c>
      <c r="G30" s="16"/>
      <c r="H30" s="16"/>
      <c r="I30" s="16"/>
    </row>
    <row r="31" spans="1:9" x14ac:dyDescent="0.3">
      <c r="A31" s="5" t="s">
        <v>4</v>
      </c>
      <c r="B31" s="15">
        <v>1007.1428571428571</v>
      </c>
      <c r="C31" s="15">
        <v>1064.6714285714286</v>
      </c>
      <c r="D31" s="15">
        <v>1086.2869113756612</v>
      </c>
      <c r="E31" s="6">
        <f t="shared" si="0"/>
        <v>2.0302491664715969</v>
      </c>
      <c r="F31" s="6">
        <f>(D31-B31)/B31*100</f>
        <v>7.8582748883635309</v>
      </c>
      <c r="G31" s="17"/>
      <c r="H31" s="17"/>
      <c r="I31" s="17"/>
    </row>
    <row r="32" spans="1:9" x14ac:dyDescent="0.3">
      <c r="A32" s="5" t="s">
        <v>5</v>
      </c>
      <c r="B32" s="15">
        <v>780</v>
      </c>
      <c r="C32" s="15">
        <v>845.99333333333334</v>
      </c>
      <c r="D32" s="15">
        <v>866.05955555555556</v>
      </c>
      <c r="E32" s="6">
        <f t="shared" si="0"/>
        <v>2.3719125708897102</v>
      </c>
      <c r="F32" s="6">
        <f t="shared" si="1"/>
        <v>11.033276353276355</v>
      </c>
      <c r="G32" s="17"/>
      <c r="H32" s="17"/>
      <c r="I32" s="17"/>
    </row>
    <row r="33" spans="1:9" x14ac:dyDescent="0.3">
      <c r="A33" s="5" t="s">
        <v>6</v>
      </c>
      <c r="B33" s="15">
        <v>814.28571428571433</v>
      </c>
      <c r="C33" s="15">
        <v>934.39857142857147</v>
      </c>
      <c r="D33" s="15">
        <v>955.08822971781262</v>
      </c>
      <c r="E33" s="6">
        <f t="shared" si="0"/>
        <v>2.2142219521600306</v>
      </c>
      <c r="F33" s="6">
        <f t="shared" si="1"/>
        <v>17.291536982889262</v>
      </c>
      <c r="G33" s="17"/>
      <c r="H33" s="17"/>
      <c r="I33" s="17"/>
    </row>
    <row r="34" spans="1:9" x14ac:dyDescent="0.3">
      <c r="A34" s="5" t="s">
        <v>7</v>
      </c>
      <c r="B34" s="15">
        <v>926</v>
      </c>
      <c r="C34" s="15">
        <v>1059.874</v>
      </c>
      <c r="D34" s="15">
        <v>1077.2230493827165</v>
      </c>
      <c r="E34" s="6">
        <f t="shared" si="0"/>
        <v>1.6368973465446297</v>
      </c>
      <c r="F34" s="6">
        <f t="shared" si="1"/>
        <v>16.330782870703718</v>
      </c>
      <c r="G34" s="17"/>
      <c r="H34" s="17"/>
      <c r="I34" s="17"/>
    </row>
    <row r="35" spans="1:9" x14ac:dyDescent="0.3">
      <c r="A35" s="5" t="s">
        <v>8</v>
      </c>
      <c r="B35" s="15">
        <v>3500</v>
      </c>
      <c r="C35" s="15">
        <v>3643.3616666666662</v>
      </c>
      <c r="D35" s="15">
        <v>3655.4882458847737</v>
      </c>
      <c r="E35" s="6">
        <f t="shared" si="0"/>
        <v>0.33284039103376167</v>
      </c>
      <c r="F35" s="6">
        <f t="shared" si="1"/>
        <v>4.4425213109935351</v>
      </c>
      <c r="G35" s="17"/>
      <c r="H35" s="17"/>
      <c r="I35" s="17"/>
    </row>
    <row r="36" spans="1:9" x14ac:dyDescent="0.3">
      <c r="A36" s="5" t="s">
        <v>9</v>
      </c>
      <c r="B36" s="15">
        <v>1375</v>
      </c>
      <c r="C36" s="15">
        <v>1470.7299999999998</v>
      </c>
      <c r="D36" s="15">
        <v>1492.2062911522644</v>
      </c>
      <c r="E36" s="6">
        <f t="shared" si="0"/>
        <v>1.4602470305402486</v>
      </c>
      <c r="F36" s="6">
        <f t="shared" si="1"/>
        <v>8.5240939019828641</v>
      </c>
      <c r="G36" s="17"/>
      <c r="H36" s="17"/>
      <c r="I36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5ACFB-5BB1-4DFE-B471-023B6258DFA2}">
  <sheetPr codeName="Sheet2"/>
  <dimension ref="A1:K38"/>
  <sheetViews>
    <sheetView tabSelected="1" topLeftCell="A34" workbookViewId="0">
      <selection activeCell="A44" sqref="A44:A46"/>
    </sheetView>
  </sheetViews>
  <sheetFormatPr defaultRowHeight="14.4" x14ac:dyDescent="0.3"/>
  <cols>
    <col min="1" max="1" width="11.6640625" style="3" bestFit="1" customWidth="1"/>
    <col min="2" max="2" width="18" style="3" customWidth="1"/>
    <col min="3" max="3" width="18.44140625" style="3" customWidth="1"/>
    <col min="4" max="4" width="18" style="3" customWidth="1"/>
    <col min="5" max="5" width="16.44140625" style="3" customWidth="1"/>
    <col min="6" max="6" width="23.33203125" style="3" customWidth="1"/>
    <col min="7" max="7" width="20.21875" style="3" customWidth="1"/>
    <col min="8" max="8" width="20.77734375" style="3" customWidth="1"/>
    <col min="9" max="9" width="19.5546875" style="3" customWidth="1"/>
    <col min="10" max="10" width="18.6640625" style="3" customWidth="1"/>
    <col min="11" max="11" width="29.5546875" style="3" customWidth="1"/>
    <col min="12" max="16384" width="8.88671875" style="3"/>
  </cols>
  <sheetData>
    <row r="1" spans="1:11" ht="57.6" x14ac:dyDescent="0.3">
      <c r="A1" s="7" t="s">
        <v>63</v>
      </c>
      <c r="B1" s="8" t="s">
        <v>22</v>
      </c>
      <c r="C1" s="8" t="s">
        <v>17</v>
      </c>
      <c r="D1" s="8" t="s">
        <v>23</v>
      </c>
      <c r="E1" s="8" t="s">
        <v>21</v>
      </c>
      <c r="F1" s="8" t="s">
        <v>24</v>
      </c>
      <c r="G1" s="8" t="s">
        <v>18</v>
      </c>
      <c r="H1" s="8" t="s">
        <v>25</v>
      </c>
      <c r="I1" s="8" t="s">
        <v>19</v>
      </c>
      <c r="J1" s="8" t="s">
        <v>26</v>
      </c>
      <c r="K1" s="8" t="s">
        <v>20</v>
      </c>
    </row>
    <row r="2" spans="1:11" x14ac:dyDescent="0.3">
      <c r="A2" s="9" t="s">
        <v>27</v>
      </c>
      <c r="B2" s="10">
        <v>126500</v>
      </c>
      <c r="C2" s="10">
        <v>126519.795</v>
      </c>
      <c r="D2" s="10">
        <v>8200</v>
      </c>
      <c r="E2" s="10">
        <v>8390.7950000000001</v>
      </c>
      <c r="F2" s="10">
        <v>455.11</v>
      </c>
      <c r="G2" s="10">
        <v>465.65</v>
      </c>
      <c r="H2" s="10">
        <v>488.48</v>
      </c>
      <c r="I2" s="10">
        <v>490.42250000000001</v>
      </c>
      <c r="J2" s="11">
        <v>740</v>
      </c>
      <c r="K2" s="11">
        <v>749.79500000000007</v>
      </c>
    </row>
    <row r="3" spans="1:11" x14ac:dyDescent="0.3">
      <c r="A3" s="9" t="s">
        <v>62</v>
      </c>
      <c r="B3" s="10">
        <v>129300</v>
      </c>
      <c r="C3" s="10">
        <v>129300.19499999975</v>
      </c>
      <c r="D3" s="10">
        <v>8130.25</v>
      </c>
      <c r="E3" s="10">
        <v>8243.0149999999994</v>
      </c>
      <c r="F3" s="10">
        <v>850.1</v>
      </c>
      <c r="G3" s="10">
        <v>851.37</v>
      </c>
      <c r="H3" s="10">
        <v>570</v>
      </c>
      <c r="I3" s="10">
        <v>582.69499999999994</v>
      </c>
      <c r="J3" s="11">
        <v>670.33</v>
      </c>
      <c r="K3" s="11">
        <v>690.99749999999995</v>
      </c>
    </row>
    <row r="4" spans="1:11" x14ac:dyDescent="0.3">
      <c r="A4" s="9" t="s">
        <v>28</v>
      </c>
      <c r="B4" s="10">
        <v>124700</v>
      </c>
      <c r="C4" s="10">
        <v>124710.3033333325</v>
      </c>
      <c r="D4" s="10">
        <v>7800</v>
      </c>
      <c r="E4" s="10">
        <v>7802.47</v>
      </c>
      <c r="F4" s="10">
        <v>450</v>
      </c>
      <c r="G4" s="10">
        <v>454.59500000000003</v>
      </c>
      <c r="H4" s="10">
        <v>430.62</v>
      </c>
      <c r="I4" s="10">
        <v>441.44666666666672</v>
      </c>
      <c r="J4" s="11">
        <v>1300</v>
      </c>
      <c r="K4" s="11">
        <v>1313.4650000000001</v>
      </c>
    </row>
    <row r="5" spans="1:11" x14ac:dyDescent="0.3">
      <c r="A5" s="9" t="s">
        <v>29</v>
      </c>
      <c r="B5" s="10">
        <v>127500.61</v>
      </c>
      <c r="C5" s="10">
        <v>127617.94691358</v>
      </c>
      <c r="D5" s="10">
        <v>8228</v>
      </c>
      <c r="E5" s="10">
        <v>8243.0028395061727</v>
      </c>
      <c r="F5" s="10">
        <v>900</v>
      </c>
      <c r="G5" s="10">
        <v>903.29913580246898</v>
      </c>
      <c r="H5" s="10">
        <v>455.35</v>
      </c>
      <c r="I5" s="10">
        <v>469.31086419753092</v>
      </c>
      <c r="J5" s="11">
        <v>2480.16</v>
      </c>
      <c r="K5" s="11">
        <v>2480.2660493827157</v>
      </c>
    </row>
    <row r="6" spans="1:11" x14ac:dyDescent="0.3">
      <c r="A6" s="9" t="s">
        <v>30</v>
      </c>
      <c r="B6" s="10">
        <v>125450</v>
      </c>
      <c r="C6" s="10">
        <v>126324.479506173</v>
      </c>
      <c r="D6" s="10">
        <v>9600.27</v>
      </c>
      <c r="E6" s="10">
        <v>9614.3913888888892</v>
      </c>
      <c r="F6" s="10">
        <v>900</v>
      </c>
      <c r="G6" s="10">
        <v>924.70435185184908</v>
      </c>
      <c r="H6" s="10">
        <v>320.10000000000002</v>
      </c>
      <c r="I6" s="10">
        <v>341.87222222222243</v>
      </c>
      <c r="J6" s="11">
        <v>883.91</v>
      </c>
      <c r="K6" s="11">
        <v>904.85691358024678</v>
      </c>
    </row>
    <row r="7" spans="1:11" x14ac:dyDescent="0.3">
      <c r="A7" s="9" t="s">
        <v>64</v>
      </c>
      <c r="B7" s="10">
        <v>123225</v>
      </c>
      <c r="C7" s="10">
        <v>123243.832222222</v>
      </c>
      <c r="D7" s="10">
        <v>6390.19</v>
      </c>
      <c r="E7" s="10">
        <v>6408.5105555555547</v>
      </c>
      <c r="F7" s="10">
        <v>880</v>
      </c>
      <c r="G7" s="10">
        <v>921.88777777777614</v>
      </c>
      <c r="H7" s="10">
        <v>458</v>
      </c>
      <c r="I7" s="10">
        <v>480.12388888888893</v>
      </c>
      <c r="J7" s="11">
        <v>975.29</v>
      </c>
      <c r="K7" s="11">
        <v>997.44944444444445</v>
      </c>
    </row>
    <row r="8" spans="1:11" x14ac:dyDescent="0.3">
      <c r="A8" s="9" t="s">
        <v>31</v>
      </c>
      <c r="B8" s="10">
        <v>123500</v>
      </c>
      <c r="C8" s="10">
        <v>123663.463209876</v>
      </c>
      <c r="D8" s="10">
        <v>8140.14</v>
      </c>
      <c r="E8" s="10">
        <v>8151.3493827160519</v>
      </c>
      <c r="F8" s="10">
        <v>902</v>
      </c>
      <c r="G8" s="10">
        <v>904.73790123456797</v>
      </c>
      <c r="H8" s="10">
        <v>350</v>
      </c>
      <c r="I8" s="10">
        <v>351.79425925925904</v>
      </c>
      <c r="J8" s="11">
        <v>4600</v>
      </c>
      <c r="K8" s="11">
        <v>4604.5134259259294</v>
      </c>
    </row>
    <row r="9" spans="1:11" x14ac:dyDescent="0.3">
      <c r="A9" s="9" t="s">
        <v>32</v>
      </c>
      <c r="B9" s="10">
        <v>124895</v>
      </c>
      <c r="C9" s="10">
        <v>124918.35749999949</v>
      </c>
      <c r="D9" s="10">
        <v>6500</v>
      </c>
      <c r="E9" s="10">
        <v>6690.1394444444404</v>
      </c>
      <c r="F9" s="10">
        <v>830</v>
      </c>
      <c r="G9" s="10">
        <v>852.00125000000003</v>
      </c>
      <c r="H9" s="10">
        <v>570</v>
      </c>
      <c r="I9" s="10">
        <v>589.58388888888885</v>
      </c>
      <c r="J9" s="11">
        <v>1000</v>
      </c>
      <c r="K9" s="11">
        <v>1022.81375</v>
      </c>
    </row>
    <row r="10" spans="1:11" x14ac:dyDescent="0.3">
      <c r="A10" s="9" t="s">
        <v>33</v>
      </c>
      <c r="B10" s="10">
        <v>129400</v>
      </c>
      <c r="C10" s="10">
        <v>129551.128271605</v>
      </c>
      <c r="D10" s="10">
        <v>6680</v>
      </c>
      <c r="E10" s="10">
        <v>6702.9809259259282</v>
      </c>
      <c r="F10" s="10">
        <v>840</v>
      </c>
      <c r="G10" s="10">
        <v>849.29398148148198</v>
      </c>
      <c r="H10" s="10">
        <v>480</v>
      </c>
      <c r="I10" s="10">
        <v>501.45629629629622</v>
      </c>
      <c r="J10" s="11">
        <v>480</v>
      </c>
      <c r="K10" s="11">
        <v>500.79222222222228</v>
      </c>
    </row>
    <row r="11" spans="1:11" x14ac:dyDescent="0.3">
      <c r="A11" s="9" t="s">
        <v>34</v>
      </c>
      <c r="B11" s="10">
        <v>126580</v>
      </c>
      <c r="C11" s="10">
        <v>126604.3527777775</v>
      </c>
      <c r="D11" s="10">
        <v>8150</v>
      </c>
      <c r="E11" s="10">
        <v>8238.3111111111102</v>
      </c>
      <c r="F11" s="10">
        <v>860</v>
      </c>
      <c r="G11" s="10">
        <v>879.56111111111102</v>
      </c>
      <c r="H11" s="10">
        <v>650</v>
      </c>
      <c r="I11" s="10">
        <v>661.0645833333333</v>
      </c>
      <c r="J11" s="11">
        <v>3200.01</v>
      </c>
      <c r="K11" s="11">
        <v>3213.988333333335</v>
      </c>
    </row>
    <row r="12" spans="1:11" x14ac:dyDescent="0.3">
      <c r="A12" s="9" t="s">
        <v>35</v>
      </c>
      <c r="B12" s="10">
        <v>123730</v>
      </c>
      <c r="C12" s="10">
        <v>123754.282222222</v>
      </c>
      <c r="D12" s="10">
        <v>8300</v>
      </c>
      <c r="E12" s="10">
        <v>8477.6120833333298</v>
      </c>
      <c r="F12" s="10">
        <v>950</v>
      </c>
      <c r="G12" s="10">
        <v>963.29958333333298</v>
      </c>
      <c r="H12" s="10">
        <v>680</v>
      </c>
      <c r="I12" s="10">
        <v>700.53222222222234</v>
      </c>
      <c r="J12" s="11">
        <v>4280</v>
      </c>
      <c r="K12" s="11">
        <v>4298.7224999999999</v>
      </c>
    </row>
    <row r="13" spans="1:11" x14ac:dyDescent="0.3">
      <c r="A13" s="9" t="s">
        <v>36</v>
      </c>
      <c r="B13" s="10">
        <v>122246.18</v>
      </c>
      <c r="C13" s="10">
        <v>122275.61166666649</v>
      </c>
      <c r="D13" s="10">
        <v>5680</v>
      </c>
      <c r="E13" s="10">
        <v>5682.7994444444439</v>
      </c>
      <c r="F13" s="10">
        <v>830</v>
      </c>
      <c r="G13" s="10">
        <v>834.32791666666606</v>
      </c>
      <c r="H13" s="10">
        <v>580</v>
      </c>
      <c r="I13" s="10">
        <v>600.21611111111122</v>
      </c>
      <c r="J13" s="11">
        <v>1300</v>
      </c>
      <c r="K13" s="11">
        <v>1324.6008333333352</v>
      </c>
    </row>
    <row r="14" spans="1:11" x14ac:dyDescent="0.3">
      <c r="A14" s="9" t="s">
        <v>37</v>
      </c>
      <c r="B14" s="10">
        <v>123750</v>
      </c>
      <c r="C14" s="10">
        <v>123767.98666666599</v>
      </c>
      <c r="D14" s="10">
        <v>6350</v>
      </c>
      <c r="E14" s="10">
        <v>6397.6838888888897</v>
      </c>
      <c r="F14" s="10">
        <v>950</v>
      </c>
      <c r="G14" s="10">
        <v>952.18388888888899</v>
      </c>
      <c r="H14" s="10">
        <v>350</v>
      </c>
      <c r="I14" s="10">
        <v>371.46374999999989</v>
      </c>
      <c r="J14" s="11">
        <v>3180</v>
      </c>
      <c r="K14" s="11">
        <v>3189.6283333333313</v>
      </c>
    </row>
    <row r="15" spans="1:11" x14ac:dyDescent="0.3">
      <c r="A15" s="9" t="s">
        <v>38</v>
      </c>
      <c r="B15" s="10">
        <v>121388</v>
      </c>
      <c r="C15" s="10">
        <v>121409.70555555524</v>
      </c>
      <c r="D15" s="10">
        <v>7500</v>
      </c>
      <c r="E15" s="10">
        <v>7552.0944444444403</v>
      </c>
      <c r="F15" s="10">
        <v>930</v>
      </c>
      <c r="G15" s="10">
        <v>932.21458333333305</v>
      </c>
      <c r="H15" s="10">
        <v>400</v>
      </c>
      <c r="I15" s="10">
        <v>407.78888888888883</v>
      </c>
      <c r="J15" s="11">
        <v>984.31</v>
      </c>
      <c r="K15" s="11">
        <v>1005.9612500000001</v>
      </c>
    </row>
    <row r="16" spans="1:11" x14ac:dyDescent="0.3">
      <c r="A16" s="9" t="s">
        <v>39</v>
      </c>
      <c r="B16" s="10">
        <v>127810</v>
      </c>
      <c r="C16" s="10">
        <v>127829.88388888902</v>
      </c>
      <c r="D16" s="10">
        <v>7130.65</v>
      </c>
      <c r="E16" s="10">
        <v>7151.4595833333333</v>
      </c>
      <c r="F16" s="10">
        <v>1150</v>
      </c>
      <c r="G16" s="10">
        <v>1154.4672222222248</v>
      </c>
      <c r="H16" s="10">
        <v>450</v>
      </c>
      <c r="I16" s="10">
        <v>464.18944444444452</v>
      </c>
      <c r="J16" s="11">
        <v>1195.46</v>
      </c>
      <c r="K16" s="11">
        <v>1216.78125</v>
      </c>
    </row>
    <row r="17" spans="1:11" x14ac:dyDescent="0.3">
      <c r="A17" s="9" t="s">
        <v>40</v>
      </c>
      <c r="B17" s="10">
        <v>126840</v>
      </c>
      <c r="C17" s="10">
        <v>126950</v>
      </c>
      <c r="D17" s="10">
        <v>8400.14</v>
      </c>
      <c r="E17" s="10">
        <v>8550</v>
      </c>
      <c r="F17" s="10">
        <v>1065.8</v>
      </c>
      <c r="G17" s="10">
        <v>1080</v>
      </c>
      <c r="H17" s="10">
        <v>560</v>
      </c>
      <c r="I17" s="10">
        <v>580</v>
      </c>
      <c r="J17" s="11">
        <v>630</v>
      </c>
      <c r="K17" s="11">
        <v>650</v>
      </c>
    </row>
    <row r="18" spans="1:11" x14ac:dyDescent="0.3">
      <c r="A18" s="9" t="s">
        <v>41</v>
      </c>
      <c r="B18" s="10">
        <v>128820</v>
      </c>
      <c r="C18" s="10">
        <v>128842.81388888901</v>
      </c>
      <c r="D18" s="10">
        <v>6250.75</v>
      </c>
      <c r="E18" s="10">
        <v>9263.0499999999993</v>
      </c>
      <c r="F18" s="10">
        <v>1144.5</v>
      </c>
      <c r="G18" s="10">
        <v>1159.0916666666601</v>
      </c>
      <c r="H18" s="10">
        <v>700</v>
      </c>
      <c r="I18" s="10">
        <v>724.27222222222213</v>
      </c>
      <c r="J18" s="11">
        <v>1180</v>
      </c>
      <c r="K18" s="11">
        <v>1190.08125</v>
      </c>
    </row>
    <row r="19" spans="1:11" x14ac:dyDescent="0.3">
      <c r="A19" s="9" t="s">
        <v>42</v>
      </c>
      <c r="B19" s="10">
        <v>127510.81</v>
      </c>
      <c r="C19" s="10">
        <v>127534.37055555524</v>
      </c>
      <c r="D19" s="10">
        <v>6360.6</v>
      </c>
      <c r="E19" s="10">
        <v>6380.6544444444444</v>
      </c>
      <c r="F19" s="10">
        <v>1070</v>
      </c>
      <c r="G19" s="10">
        <v>1084.38222222222</v>
      </c>
      <c r="H19" s="10">
        <v>480</v>
      </c>
      <c r="I19" s="10">
        <v>500.771111111111</v>
      </c>
      <c r="J19" s="11">
        <v>1100</v>
      </c>
      <c r="K19" s="11">
        <v>1119.6558333333301</v>
      </c>
    </row>
    <row r="20" spans="1:11" x14ac:dyDescent="0.3">
      <c r="A20" s="9" t="s">
        <v>43</v>
      </c>
      <c r="B20" s="10">
        <v>126260.73</v>
      </c>
      <c r="C20" s="10">
        <v>126941.173703703</v>
      </c>
      <c r="D20" s="10">
        <v>7200</v>
      </c>
      <c r="E20" s="10">
        <v>7391.2019753086397</v>
      </c>
      <c r="F20" s="10">
        <v>920</v>
      </c>
      <c r="G20" s="10">
        <v>950.22049382716011</v>
      </c>
      <c r="H20" s="10">
        <v>640</v>
      </c>
      <c r="I20" s="10">
        <v>646.54765432098782</v>
      </c>
      <c r="J20" s="11">
        <v>930</v>
      </c>
      <c r="K20" s="11">
        <v>945.89950617283978</v>
      </c>
    </row>
    <row r="21" spans="1:11" x14ac:dyDescent="0.3">
      <c r="A21" s="9" t="s">
        <v>44</v>
      </c>
      <c r="B21" s="10">
        <v>124150</v>
      </c>
      <c r="C21" s="10">
        <v>125327.42876543201</v>
      </c>
      <c r="D21" s="10">
        <v>7600</v>
      </c>
      <c r="E21" s="10">
        <v>7613.4472839506152</v>
      </c>
      <c r="F21" s="10">
        <v>780</v>
      </c>
      <c r="G21" s="10">
        <v>795.05222222222221</v>
      </c>
      <c r="H21" s="10">
        <v>600</v>
      </c>
      <c r="I21" s="10">
        <v>616.42259259259288</v>
      </c>
      <c r="J21" s="11">
        <v>940</v>
      </c>
      <c r="K21" s="11">
        <v>944.71351851851853</v>
      </c>
    </row>
    <row r="22" spans="1:11" x14ac:dyDescent="0.3">
      <c r="A22" s="9" t="s">
        <v>45</v>
      </c>
      <c r="B22" s="10">
        <v>125952.09</v>
      </c>
      <c r="C22" s="10">
        <v>126986.980833333</v>
      </c>
      <c r="D22" s="10">
        <v>7200</v>
      </c>
      <c r="E22" s="10">
        <v>7231.9927777777784</v>
      </c>
      <c r="F22" s="10">
        <v>900.68</v>
      </c>
      <c r="G22" s="10">
        <v>941.55499999999847</v>
      </c>
      <c r="H22" s="10">
        <v>400</v>
      </c>
      <c r="I22" s="10">
        <v>432.11777777777775</v>
      </c>
      <c r="J22" s="11">
        <v>970</v>
      </c>
      <c r="K22" s="11">
        <v>998.2941666666668</v>
      </c>
    </row>
    <row r="23" spans="1:11" x14ac:dyDescent="0.3">
      <c r="A23" s="9" t="s">
        <v>46</v>
      </c>
      <c r="B23" s="10">
        <v>124253.98</v>
      </c>
      <c r="C23" s="10">
        <v>124288.54166666648</v>
      </c>
      <c r="D23" s="10">
        <v>7200</v>
      </c>
      <c r="E23" s="10">
        <v>7225.5794444444427</v>
      </c>
      <c r="F23" s="10">
        <v>900</v>
      </c>
      <c r="G23" s="10">
        <v>917.773888888888</v>
      </c>
      <c r="H23" s="10">
        <v>480</v>
      </c>
      <c r="I23" s="10">
        <v>508.12458333333325</v>
      </c>
      <c r="J23" s="11">
        <v>820</v>
      </c>
      <c r="K23" s="11">
        <v>844.60722222222216</v>
      </c>
    </row>
    <row r="24" spans="1:11" x14ac:dyDescent="0.3">
      <c r="A24" s="9" t="s">
        <v>47</v>
      </c>
      <c r="B24" s="10">
        <v>125820</v>
      </c>
      <c r="C24" s="10">
        <v>126275.77895061699</v>
      </c>
      <c r="D24" s="10">
        <v>7227.55</v>
      </c>
      <c r="E24" s="10">
        <v>9256.9993209876502</v>
      </c>
      <c r="F24" s="10">
        <v>880</v>
      </c>
      <c r="G24" s="10">
        <v>914.35919753086375</v>
      </c>
      <c r="H24" s="10">
        <v>550</v>
      </c>
      <c r="I24" s="10">
        <v>564.49808641975324</v>
      </c>
      <c r="J24" s="11">
        <v>1495</v>
      </c>
      <c r="K24" s="11">
        <v>1527.3860185185192</v>
      </c>
    </row>
    <row r="25" spans="1:11" x14ac:dyDescent="0.3">
      <c r="A25" s="9" t="s">
        <v>48</v>
      </c>
      <c r="B25" s="10">
        <v>129408.19</v>
      </c>
      <c r="C25" s="10">
        <v>129948.07327160399</v>
      </c>
      <c r="D25" s="10">
        <v>5600</v>
      </c>
      <c r="E25" s="10">
        <v>5608.3679629629623</v>
      </c>
      <c r="F25" s="10">
        <v>940</v>
      </c>
      <c r="G25" s="10">
        <v>950.68895061728188</v>
      </c>
      <c r="H25" s="10">
        <v>530</v>
      </c>
      <c r="I25" s="10">
        <v>540.45351851851865</v>
      </c>
      <c r="J25" s="11">
        <v>1400</v>
      </c>
      <c r="K25" s="11">
        <v>1410.5923148148133</v>
      </c>
    </row>
    <row r="26" spans="1:11" x14ac:dyDescent="0.3">
      <c r="A26" s="9" t="s">
        <v>49</v>
      </c>
      <c r="B26" s="10">
        <v>125679.67999999999</v>
      </c>
      <c r="C26" s="10">
        <v>125690.41499999999</v>
      </c>
      <c r="D26" s="10">
        <v>7300</v>
      </c>
      <c r="E26" s="10">
        <v>7323.48462962963</v>
      </c>
      <c r="F26" s="10">
        <v>1100</v>
      </c>
      <c r="G26" s="10">
        <v>1101.0463580246883</v>
      </c>
      <c r="H26" s="10">
        <v>950</v>
      </c>
      <c r="I26" s="10">
        <v>966.59972222222234</v>
      </c>
      <c r="J26" s="11">
        <v>1800</v>
      </c>
      <c r="K26" s="11">
        <v>1819.9352469135836</v>
      </c>
    </row>
    <row r="27" spans="1:11" x14ac:dyDescent="0.3">
      <c r="A27" s="9" t="s">
        <v>50</v>
      </c>
      <c r="B27" s="10">
        <v>122850</v>
      </c>
      <c r="C27" s="10">
        <v>123788.455</v>
      </c>
      <c r="D27" s="10">
        <v>6400</v>
      </c>
      <c r="E27" s="10">
        <v>6414.5661111111112</v>
      </c>
      <c r="F27" s="10">
        <v>830.65</v>
      </c>
      <c r="G27" s="10">
        <v>863.67166666666651</v>
      </c>
      <c r="H27" s="10">
        <v>530</v>
      </c>
      <c r="I27" s="10">
        <v>559.12166666666633</v>
      </c>
      <c r="J27" s="11">
        <v>930</v>
      </c>
      <c r="K27" s="11">
        <v>954.56611111111113</v>
      </c>
    </row>
    <row r="28" spans="1:11" x14ac:dyDescent="0.3">
      <c r="A28" s="9" t="s">
        <v>51</v>
      </c>
      <c r="B28" s="10">
        <v>127917.6</v>
      </c>
      <c r="C28" s="10">
        <v>127949.26805555525</v>
      </c>
      <c r="D28" s="10">
        <v>7300.1</v>
      </c>
      <c r="E28" s="10">
        <v>7329.2680555555562</v>
      </c>
      <c r="F28" s="10">
        <v>820.14</v>
      </c>
      <c r="G28" s="10">
        <v>853.51999999999839</v>
      </c>
      <c r="H28" s="10">
        <v>400</v>
      </c>
      <c r="I28" s="10">
        <v>434.41874999999999</v>
      </c>
      <c r="J28" s="11">
        <v>907.37</v>
      </c>
      <c r="K28" s="11">
        <v>939.03916666666657</v>
      </c>
    </row>
    <row r="29" spans="1:11" x14ac:dyDescent="0.3">
      <c r="A29" s="9" t="s">
        <v>52</v>
      </c>
      <c r="B29" s="10">
        <v>128500</v>
      </c>
      <c r="C29" s="10">
        <v>129178.373611111</v>
      </c>
      <c r="D29" s="10">
        <v>6457.5</v>
      </c>
      <c r="E29" s="10">
        <v>9489.7625000000007</v>
      </c>
      <c r="F29" s="10">
        <v>920</v>
      </c>
      <c r="G29" s="10">
        <v>953.1513888888876</v>
      </c>
      <c r="H29" s="10">
        <v>530</v>
      </c>
      <c r="I29" s="10">
        <v>544.04583333333323</v>
      </c>
      <c r="J29" s="11">
        <v>2200</v>
      </c>
      <c r="K29" s="11">
        <v>2226.706944444446</v>
      </c>
    </row>
    <row r="30" spans="1:11" x14ac:dyDescent="0.3">
      <c r="A30" s="9" t="s">
        <v>53</v>
      </c>
      <c r="B30" s="10">
        <v>126420</v>
      </c>
      <c r="C30" s="10">
        <v>126450.59805555549</v>
      </c>
      <c r="D30" s="10">
        <v>6490.9</v>
      </c>
      <c r="E30" s="10">
        <v>7514.3813888887998</v>
      </c>
      <c r="F30" s="10">
        <v>1140.8499999999999</v>
      </c>
      <c r="G30" s="10">
        <v>1172.7730555555549</v>
      </c>
      <c r="H30" s="10">
        <v>792.6</v>
      </c>
      <c r="I30" s="10">
        <v>815.57861111111106</v>
      </c>
      <c r="J30" s="11">
        <v>1600.07</v>
      </c>
      <c r="K30" s="11">
        <v>1628.549722222225</v>
      </c>
    </row>
    <row r="31" spans="1:11" x14ac:dyDescent="0.3">
      <c r="A31" s="9" t="s">
        <v>54</v>
      </c>
      <c r="B31" s="10">
        <v>129000</v>
      </c>
      <c r="C31" s="10">
        <v>129021.375</v>
      </c>
      <c r="D31" s="10">
        <v>6950</v>
      </c>
      <c r="E31" s="10">
        <v>6954.3125</v>
      </c>
      <c r="F31" s="10">
        <v>860.58</v>
      </c>
      <c r="G31" s="10">
        <v>906.35249999999996</v>
      </c>
      <c r="H31" s="10">
        <v>460</v>
      </c>
      <c r="I31" s="10">
        <v>482.32291666666674</v>
      </c>
      <c r="J31" s="11">
        <v>1190</v>
      </c>
      <c r="K31" s="11">
        <v>1207.5104166666649</v>
      </c>
    </row>
    <row r="32" spans="1:11" x14ac:dyDescent="0.3">
      <c r="A32" s="9" t="s">
        <v>55</v>
      </c>
      <c r="B32" s="10">
        <v>129440.66</v>
      </c>
      <c r="C32" s="10">
        <v>130475.329166667</v>
      </c>
      <c r="D32" s="10">
        <v>7690</v>
      </c>
      <c r="E32" s="10">
        <v>9724.1908333333304</v>
      </c>
      <c r="F32" s="10">
        <v>740</v>
      </c>
      <c r="G32" s="10">
        <v>768.74916666666672</v>
      </c>
      <c r="H32" s="10">
        <v>630</v>
      </c>
      <c r="I32" s="10">
        <v>651.98874999999998</v>
      </c>
      <c r="J32" s="11">
        <v>1050</v>
      </c>
      <c r="K32" s="11">
        <v>1064.5741666666668</v>
      </c>
    </row>
    <row r="33" spans="1:11" x14ac:dyDescent="0.3">
      <c r="A33" s="9" t="s">
        <v>56</v>
      </c>
      <c r="B33" s="10">
        <v>124142.42</v>
      </c>
      <c r="C33" s="10">
        <v>125499.048919753</v>
      </c>
      <c r="D33" s="10">
        <v>7200</v>
      </c>
      <c r="E33" s="10">
        <v>8196.6373148148105</v>
      </c>
      <c r="F33" s="10">
        <v>980</v>
      </c>
      <c r="G33" s="10">
        <v>999.19904320987996</v>
      </c>
      <c r="H33" s="10">
        <v>550</v>
      </c>
      <c r="I33" s="10">
        <v>577.27003086419745</v>
      </c>
      <c r="J33" s="11">
        <v>1050</v>
      </c>
      <c r="K33" s="11">
        <v>1058.6135185185185</v>
      </c>
    </row>
    <row r="34" spans="1:11" x14ac:dyDescent="0.3">
      <c r="A34" s="9" t="s">
        <v>57</v>
      </c>
      <c r="B34" s="10">
        <v>129115</v>
      </c>
      <c r="C34" s="10">
        <v>129948.935833333</v>
      </c>
      <c r="D34" s="10">
        <v>7180</v>
      </c>
      <c r="E34" s="10">
        <v>7206.175416666666</v>
      </c>
      <c r="F34" s="10">
        <v>1000</v>
      </c>
      <c r="G34" s="10">
        <v>1031.5920833333334</v>
      </c>
      <c r="H34" s="10">
        <v>690</v>
      </c>
      <c r="I34" s="10">
        <v>721.95666666666671</v>
      </c>
      <c r="J34" s="11">
        <v>4120</v>
      </c>
      <c r="K34" s="11">
        <v>4145.810833333333</v>
      </c>
    </row>
    <row r="35" spans="1:11" x14ac:dyDescent="0.3">
      <c r="A35" s="9" t="s">
        <v>58</v>
      </c>
      <c r="B35" s="10">
        <v>126504.28</v>
      </c>
      <c r="C35" s="10">
        <v>126527.13027777801</v>
      </c>
      <c r="D35" s="10">
        <v>6850</v>
      </c>
      <c r="E35" s="10">
        <v>6856.6262499999993</v>
      </c>
      <c r="F35" s="10">
        <v>660</v>
      </c>
      <c r="G35" s="10">
        <v>683.6</v>
      </c>
      <c r="H35" s="10">
        <v>460</v>
      </c>
      <c r="I35" s="10">
        <v>482.90694444444455</v>
      </c>
      <c r="J35" s="11">
        <v>1000</v>
      </c>
      <c r="K35" s="11">
        <v>1022.8979166666668</v>
      </c>
    </row>
    <row r="36" spans="1:11" x14ac:dyDescent="0.3">
      <c r="A36" s="9" t="s">
        <v>59</v>
      </c>
      <c r="B36" s="10">
        <v>125435.65</v>
      </c>
      <c r="C36" s="10">
        <v>126457.669305555</v>
      </c>
      <c r="D36" s="10">
        <v>6166.15</v>
      </c>
      <c r="E36" s="10">
        <v>6188.4748611111099</v>
      </c>
      <c r="F36" s="10">
        <v>1165</v>
      </c>
      <c r="G36" s="10">
        <v>1185.677638888885</v>
      </c>
      <c r="H36" s="10">
        <v>746.86</v>
      </c>
      <c r="I36" s="10">
        <v>769.10763888888869</v>
      </c>
      <c r="J36" s="11">
        <v>800.67</v>
      </c>
      <c r="K36" s="11">
        <v>822.91958333333332</v>
      </c>
    </row>
    <row r="37" spans="1:11" x14ac:dyDescent="0.3">
      <c r="A37" s="9" t="s">
        <v>60</v>
      </c>
      <c r="B37" s="10">
        <v>127590</v>
      </c>
      <c r="C37" s="10">
        <v>129613.862333333</v>
      </c>
      <c r="D37" s="10">
        <v>7300</v>
      </c>
      <c r="E37" s="10">
        <v>7313.8623333333344</v>
      </c>
      <c r="F37" s="10">
        <v>820</v>
      </c>
      <c r="G37" s="10">
        <v>843.16788888888891</v>
      </c>
      <c r="H37" s="10">
        <v>730</v>
      </c>
      <c r="I37" s="10">
        <v>748.72344444444445</v>
      </c>
      <c r="J37" s="11">
        <v>890</v>
      </c>
      <c r="K37" s="11">
        <v>911.731083333333</v>
      </c>
    </row>
    <row r="38" spans="1:11" x14ac:dyDescent="0.3">
      <c r="A38" s="9" t="s">
        <v>61</v>
      </c>
      <c r="B38" s="10">
        <v>125827.73</v>
      </c>
      <c r="C38" s="10">
        <v>125861.49166666649</v>
      </c>
      <c r="D38" s="10">
        <v>7364.12</v>
      </c>
      <c r="E38" s="10">
        <v>7382.8811111111099</v>
      </c>
      <c r="F38" s="10">
        <v>1150</v>
      </c>
      <c r="G38" s="10">
        <v>1182.7655555555557</v>
      </c>
      <c r="H38" s="10">
        <v>480</v>
      </c>
      <c r="I38" s="10">
        <v>507.76555555555552</v>
      </c>
      <c r="J38" s="11">
        <v>780.79</v>
      </c>
      <c r="K38" s="11">
        <v>809.54944444444448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Transport December 2024</vt:lpstr>
      <vt:lpstr>State Transport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 Onuorah</dc:creator>
  <cp:lastModifiedBy>GEOINFOTECH</cp:lastModifiedBy>
  <dcterms:created xsi:type="dcterms:W3CDTF">2024-07-18T12:01:19Z</dcterms:created>
  <dcterms:modified xsi:type="dcterms:W3CDTF">2026-05-19T10:38:13Z</dcterms:modified>
</cp:coreProperties>
</file>