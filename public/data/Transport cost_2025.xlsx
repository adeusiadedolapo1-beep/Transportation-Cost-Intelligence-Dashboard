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University of Lagos\Desktop\Dashboard\Dashboard Data\"/>
    </mc:Choice>
  </mc:AlternateContent>
  <xr:revisionPtr revIDLastSave="0" documentId="13_ncr:1_{C50E95C2-8E4D-4724-A958-BA93412C4668}" xr6:coauthVersionLast="47" xr6:coauthVersionMax="47" xr10:uidLastSave="{00000000-0000-0000-0000-000000000000}"/>
  <bookViews>
    <workbookView xWindow="15" yWindow="90" windowWidth="20475" windowHeight="10590" activeTab="1" xr2:uid="{00000000-000D-0000-FFFF-FFFF00000000}"/>
  </bookViews>
  <sheets>
    <sheet name="Transport January 2025" sheetId="1" r:id="rId1"/>
    <sheet name="State Transpor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F31" i="1"/>
  <c r="F36" i="1"/>
  <c r="F35" i="1"/>
  <c r="F34" i="1"/>
  <c r="F33" i="1"/>
  <c r="F32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<sst xmlns="http://schemas.openxmlformats.org/spreadsheetml/2006/main" count="139" uniqueCount="115">
  <si>
    <t>Zone</t>
  </si>
  <si>
    <t>MoM</t>
  </si>
  <si>
    <t>YoY</t>
  </si>
  <si>
    <t>Air fare charg.for specified routes single journey</t>
  </si>
  <si>
    <t>NORTH CENTRAL</t>
  </si>
  <si>
    <t>NORTH EAST</t>
  </si>
  <si>
    <t>NORTH WEST</t>
  </si>
  <si>
    <t>SOUTH EAST</t>
  </si>
  <si>
    <t>SOUTH SOUTH</t>
  </si>
  <si>
    <t>SOUTH WEST</t>
  </si>
  <si>
    <t>Bus journey intercity, state route, charg. per per</t>
  </si>
  <si>
    <t>Bus journey within  city , per  drop constant  rou</t>
  </si>
  <si>
    <t>Journey by motorcycle (okada) per drop</t>
  </si>
  <si>
    <t>Water transport : water way passenger  transportat</t>
  </si>
  <si>
    <t>Average of Dec-24</t>
  </si>
  <si>
    <t>Average of Jan-24</t>
  </si>
  <si>
    <t>Average of Jan-25</t>
  </si>
  <si>
    <t>NAME_1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</si>
  <si>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</si>
  <si>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</si>
  <si>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</si>
  <si>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</si>
  <si>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</si>
  <si>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</si>
  <si>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</si>
  <si>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</si>
  <si>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</si>
  <si>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</si>
  <si>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</si>
  <si>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</si>
  <si>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</si>
  <si>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</si>
  <si>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</si>
  <si>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</si>
  <si>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</si>
  <si>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</si>
  <si>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</si>
  <si>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</si>
  <si>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</si>
  <si>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</si>
  <si>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</si>
  <si>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</si>
  <si>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</si>
  <si>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</si>
  <si>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</si>
  <si>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</si>
  <si>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</si>
  <si>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</si>
  <si>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</si>
  <si>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</si>
  <si>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</si>
  <si>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</si>
  <si>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</si>
  <si>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</si>
  <si>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Air fare charge (January)</t>
  </si>
  <si>
    <t>Bus journey within  city (January)</t>
  </si>
  <si>
    <t>Bus journey intercity, state route (January)</t>
  </si>
  <si>
    <t>Journey by motorcycle (okada) (January)</t>
  </si>
  <si>
    <t>Water transport (January)</t>
  </si>
  <si>
    <t>Water transport  (February)</t>
  </si>
  <si>
    <t>Journey by motorcycle (okada) (February)</t>
  </si>
  <si>
    <t>Bus journey within  city (February)</t>
  </si>
  <si>
    <t>Bus journey intercity, state route (February)</t>
  </si>
  <si>
    <t>Air fare charge (February)</t>
  </si>
  <si>
    <t>Air fare charge (March)</t>
  </si>
  <si>
    <t>Bus journey intercity, state route (March)</t>
  </si>
  <si>
    <t>Bus journey within  city (March)</t>
  </si>
  <si>
    <t>Journey by motorcycle (okada) (March)</t>
  </si>
  <si>
    <t>Water transport (March)</t>
  </si>
  <si>
    <t>Air fare charge (April)</t>
  </si>
  <si>
    <t>Bus journey intercity, state route (April)</t>
  </si>
  <si>
    <t xml:space="preserve">Bus journey within  city (April) </t>
  </si>
  <si>
    <t>Journey by motorcycle (okada)  (April)</t>
  </si>
  <si>
    <t>Water transport (April)</t>
  </si>
  <si>
    <t>Water transport (May)</t>
  </si>
  <si>
    <t>Journey by motorcycle (okada)  (May)</t>
  </si>
  <si>
    <t>Bus journey within  city  (May)</t>
  </si>
  <si>
    <t>Bus journey intercity, state route (May)</t>
  </si>
  <si>
    <t>Air fare charge  (May)</t>
  </si>
  <si>
    <t>Air fare charge (June)</t>
  </si>
  <si>
    <t>Bus journey intercity, state route (June)</t>
  </si>
  <si>
    <t>Bus journey within  city (June)</t>
  </si>
  <si>
    <t>Journey by motorcycle (okada) (June)</t>
  </si>
  <si>
    <t>Water transport (June)</t>
  </si>
  <si>
    <t>Water transport (July)</t>
  </si>
  <si>
    <t>Journey by motorcycle (okada)  (July)</t>
  </si>
  <si>
    <t>Bus journey within  city (July)</t>
  </si>
  <si>
    <t>Bus journey intercity, state route (July)</t>
  </si>
  <si>
    <t>Air fare charge (July)</t>
  </si>
  <si>
    <t>Air fare charge (August)</t>
  </si>
  <si>
    <t>Journey by motorcycle (okada) (August)</t>
  </si>
  <si>
    <t>Water transport (August)</t>
  </si>
  <si>
    <t>Air fare charge (September)</t>
  </si>
  <si>
    <t>Bus journey intercity, state route (September</t>
  </si>
  <si>
    <t>Water transport (September</t>
  </si>
  <si>
    <t>Journey by motorcycle (okada)  (September</t>
  </si>
  <si>
    <t>Bus journey within  city (September</t>
  </si>
  <si>
    <t>Bus journey within  city  (August)</t>
  </si>
  <si>
    <t>Bus journey intercity, state route  (August)</t>
  </si>
  <si>
    <t>Air fare charge (October)</t>
  </si>
  <si>
    <t>Bus journey intercity, state route (October)</t>
  </si>
  <si>
    <t>Bus journey within  city (October)</t>
  </si>
  <si>
    <t>Journey by motorcycle (okada) (October)</t>
  </si>
  <si>
    <t>Water transport (October)</t>
  </si>
  <si>
    <t>Water transport (November)</t>
  </si>
  <si>
    <t>Journey by motorcycle (okada) (November)</t>
  </si>
  <si>
    <t>Bus journey within  city (November)</t>
  </si>
  <si>
    <t>Bus journey intercity, state route (November)</t>
  </si>
  <si>
    <t>Air fare charge (November)</t>
  </si>
  <si>
    <t>Air fare charge (December)</t>
  </si>
  <si>
    <t>Bus journey intercity, state route (December)</t>
  </si>
  <si>
    <t>Bus journey within  city (December)</t>
  </si>
  <si>
    <t>Journey by motorcycle (okada)  (December)</t>
  </si>
  <si>
    <t>Water transport (December)</t>
  </si>
  <si>
    <t>Federal Capital 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</si>
</sst>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orbel"/>
      <family val="2"/>
    </font>
    <font>
      <b/>
      <sz val="11"/>
      <color theme="1"/>
      <name val="Corbel"/>
      <family val="2"/>
    </font>
    <font>
      <sz val="10"/>
      <color theme="1"/>
      <name val="Corbel"/>
      <family val="2"/>
    </font>
    <font>
      <sz val="11"/>
      <color theme="1"/>
      <name val="Corbel"/>
      <family val="2"/>
    </font>
    <font>
      <sz val="11"/>
      <name val="Corbe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1" fillId="0" borderId="0" xfId="1"/>
    <xf numFmtId="164" fontId="2" fillId="0" borderId="1" xfId="2" applyFont="1" applyBorder="1"/>
    <xf numFmtId="0" fontId="4" fillId="0" borderId="1" xfId="1" applyFont="1" applyBorder="1"/>
    <xf numFmtId="164" fontId="4" fillId="0" borderId="1" xfId="2" applyFont="1" applyBorder="1"/>
    <xf numFmtId="0" fontId="2" fillId="0" borderId="1" xfId="1" applyFont="1" applyBorder="1" applyAlignment="1">
      <alignment wrapText="1"/>
    </xf>
    <xf numFmtId="0" fontId="5" fillId="0" borderId="0" xfId="1" applyFont="1"/>
    <xf numFmtId="2" fontId="3" fillId="0" borderId="1" xfId="0" applyNumberFormat="1" applyFont="1" applyBorder="1"/>
    <xf numFmtId="2" fontId="5" fillId="0" borderId="1" xfId="0" applyNumberFormat="1" applyFont="1" applyBorder="1"/>
    <xf numFmtId="2" fontId="5" fillId="0" borderId="3" xfId="0" applyNumberFormat="1" applyFont="1" applyBorder="1"/>
    <xf numFmtId="2" fontId="5" fillId="0" borderId="0" xfId="0" applyNumberFormat="1" applyFont="1"/>
    <xf numFmtId="2" fontId="5" fillId="0" borderId="2" xfId="0" applyNumberFormat="1" applyFont="1" applyBorder="1" applyAlignment="1">
      <alignment horizontal="left"/>
    </xf>
    <xf numFmtId="0" fontId="3" fillId="4" borderId="5" xfId="1" applyFont="1" applyFill="1" applyBorder="1" applyAlignment="1">
      <alignment wrapText="1"/>
    </xf>
    <xf numFmtId="2" fontId="5" fillId="0" borderId="4" xfId="0" applyNumberFormat="1" applyFont="1" applyBorder="1" applyAlignment="1">
      <alignment horizontal="left"/>
    </xf>
    <xf numFmtId="0" fontId="3" fillId="4" borderId="1" xfId="1" applyFont="1" applyFill="1" applyBorder="1"/>
    <xf numFmtId="0" fontId="5" fillId="0" borderId="1" xfId="1" applyFont="1" applyBorder="1" applyAlignment="1">
      <alignment horizontal="left"/>
    </xf>
    <xf numFmtId="2" fontId="6" fillId="0" borderId="0" xfId="0" applyNumberFormat="1" applyFont="1"/>
    <xf numFmtId="0" fontId="3" fillId="4" borderId="1" xfId="1" applyFont="1" applyFill="1" applyBorder="1" applyAlignment="1">
      <alignment wrapText="1"/>
    </xf>
    <xf numFmtId="2" fontId="5" fillId="0" borderId="1" xfId="0" applyNumberFormat="1" applyFont="1" applyBorder="1" applyAlignment="1">
      <alignment horizontal="left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6"/>
  <sheetViews>
    <sheetView topLeftCell="A16" workbookViewId="0">
      <selection activeCell="A23" sqref="A23:XFD23"/>
    </sheetView>
  </sheetViews>
  <sheetFormatPr defaultColWidth="8.85546875" defaultRowHeight="15" x14ac:dyDescent="0.25"/>
  <cols>
    <col min="1" max="1" width="25.42578125" style="8" customWidth="1"/>
    <col min="2" max="2" width="15.7109375" style="8" bestFit="1" customWidth="1"/>
    <col min="3" max="3" width="16.7109375" style="8" bestFit="1" customWidth="1"/>
    <col min="4" max="4" width="15.85546875" style="8" bestFit="1" customWidth="1"/>
    <col min="5" max="6" width="7" style="8" bestFit="1" customWidth="1"/>
    <col min="7" max="7" width="11.28515625" style="8" customWidth="1"/>
    <col min="8" max="16384" width="8.85546875" style="8"/>
  </cols>
  <sheetData>
    <row r="1" spans="1:6" x14ac:dyDescent="0.25">
      <c r="A1" s="1" t="s">
        <v>0</v>
      </c>
      <c r="B1" s="1" t="s">
        <v>15</v>
      </c>
      <c r="C1" s="1" t="s">
        <v>14</v>
      </c>
      <c r="D1" s="1" t="s">
        <v>16</v>
      </c>
      <c r="E1" s="2" t="s">
        <v>1</v>
      </c>
      <c r="F1" s="2" t="s">
        <v>2</v>
      </c>
    </row>
    <row r="2" spans="1:6" ht="26.25" x14ac:dyDescent="0.25">
      <c r="A2" s="7" t="s">
        <v>3</v>
      </c>
      <c r="B2" s="9">
        <v>89975.67567567568</v>
      </c>
      <c r="C2" s="9">
        <v>126514.82263772083</v>
      </c>
      <c r="D2" s="9">
        <v>126907.709171982</v>
      </c>
      <c r="E2" s="4">
        <f>(D2-C2)/C2*100</f>
        <v>0.3105458523118757</v>
      </c>
      <c r="F2" s="4">
        <f>(D2-B2)/B2*100</f>
        <v>41.046686472720367</v>
      </c>
    </row>
    <row r="3" spans="1:6" x14ac:dyDescent="0.25">
      <c r="A3" s="5" t="s">
        <v>4</v>
      </c>
      <c r="B3" s="10">
        <v>84500</v>
      </c>
      <c r="C3" s="10">
        <v>126811.31095678978</v>
      </c>
      <c r="D3" s="10">
        <v>126644.42185928571</v>
      </c>
      <c r="E3" s="6">
        <f t="shared" ref="E3:E36" si="0">(D3-C3)/C3*100</f>
        <v>-0.13160426798279601</v>
      </c>
      <c r="F3" s="6">
        <f t="shared" ref="F3:F36" si="1">(D3-B3)/B3*100</f>
        <v>49.875055454775982</v>
      </c>
    </row>
    <row r="4" spans="1:6" x14ac:dyDescent="0.25">
      <c r="A4" s="5" t="s">
        <v>5</v>
      </c>
      <c r="B4" s="10">
        <v>90916.666666666672</v>
      </c>
      <c r="C4" s="10">
        <v>126754.46591100794</v>
      </c>
      <c r="D4" s="10">
        <v>127141.66666666667</v>
      </c>
      <c r="E4" s="6">
        <f t="shared" si="0"/>
        <v>0.30547306785275785</v>
      </c>
      <c r="F4" s="6">
        <f t="shared" si="1"/>
        <v>39.84417965169569</v>
      </c>
    </row>
    <row r="5" spans="1:6" x14ac:dyDescent="0.25">
      <c r="A5" s="5" t="s">
        <v>6</v>
      </c>
      <c r="B5" s="10">
        <v>90928.571428571435</v>
      </c>
      <c r="C5" s="10">
        <v>126209.58820987632</v>
      </c>
      <c r="D5" s="10">
        <v>126830</v>
      </c>
      <c r="E5" s="6">
        <f t="shared" si="0"/>
        <v>0.4915726284535375</v>
      </c>
      <c r="F5" s="6">
        <f t="shared" si="1"/>
        <v>39.483110761979567</v>
      </c>
    </row>
    <row r="6" spans="1:6" x14ac:dyDescent="0.25">
      <c r="A6" s="5" t="s">
        <v>7</v>
      </c>
      <c r="B6" s="10">
        <v>87500</v>
      </c>
      <c r="C6" s="10">
        <v>126358.51679012345</v>
      </c>
      <c r="D6" s="10">
        <v>126740</v>
      </c>
      <c r="E6" s="6">
        <f t="shared" si="0"/>
        <v>0.30190541925256686</v>
      </c>
      <c r="F6" s="6">
        <f t="shared" si="1"/>
        <v>44.84571428571428</v>
      </c>
    </row>
    <row r="7" spans="1:6" x14ac:dyDescent="0.25">
      <c r="A7" s="5" t="s">
        <v>8</v>
      </c>
      <c r="B7" s="10">
        <v>91666.666666666672</v>
      </c>
      <c r="C7" s="10">
        <v>125892.82793724241</v>
      </c>
      <c r="D7" s="10">
        <v>126055.55555555566</v>
      </c>
      <c r="E7" s="6">
        <f t="shared" si="0"/>
        <v>0.12925884737005727</v>
      </c>
      <c r="F7" s="6">
        <f t="shared" si="1"/>
        <v>37.515151515151622</v>
      </c>
    </row>
    <row r="8" spans="1:6" x14ac:dyDescent="0.25">
      <c r="A8" s="5" t="s">
        <v>9</v>
      </c>
      <c r="B8" s="10">
        <v>94683.333333333328</v>
      </c>
      <c r="C8" s="10">
        <v>127037.63273148144</v>
      </c>
      <c r="D8" s="10">
        <v>128063.49216916667</v>
      </c>
      <c r="E8" s="6">
        <f t="shared" si="0"/>
        <v>0.80752405065165134</v>
      </c>
      <c r="F8" s="6">
        <f t="shared" si="1"/>
        <v>35.25452438215104</v>
      </c>
    </row>
    <row r="9" spans="1:6" ht="26.25" x14ac:dyDescent="0.25">
      <c r="A9" s="7" t="s">
        <v>10</v>
      </c>
      <c r="B9" s="9">
        <v>7577.0270270270266</v>
      </c>
      <c r="C9" s="9">
        <v>7571.9603137303948</v>
      </c>
      <c r="D9" s="9">
        <v>7573.2774224491641</v>
      </c>
      <c r="E9" s="4">
        <f t="shared" si="0"/>
        <v>1.7394553909388082E-2</v>
      </c>
      <c r="F9" s="4">
        <f t="shared" si="1"/>
        <v>-4.9486488097347799E-2</v>
      </c>
    </row>
    <row r="10" spans="1:6" x14ac:dyDescent="0.25">
      <c r="A10" s="5" t="s">
        <v>4</v>
      </c>
      <c r="B10" s="10">
        <v>7121.4285714285716</v>
      </c>
      <c r="C10" s="10">
        <v>7391.2847442680768</v>
      </c>
      <c r="D10" s="10">
        <v>7482.1642340476183</v>
      </c>
      <c r="E10" s="6">
        <f t="shared" si="0"/>
        <v>1.2295492992611101</v>
      </c>
      <c r="F10" s="6">
        <f t="shared" si="1"/>
        <v>5.0654957639585296</v>
      </c>
    </row>
    <row r="11" spans="1:6" x14ac:dyDescent="0.25">
      <c r="A11" s="5" t="s">
        <v>5</v>
      </c>
      <c r="B11" s="10">
        <v>7500</v>
      </c>
      <c r="C11" s="10">
        <v>7161.049779320987</v>
      </c>
      <c r="D11" s="10">
        <v>7178.333333333333</v>
      </c>
      <c r="E11" s="6">
        <f t="shared" si="0"/>
        <v>0.24135503236209682</v>
      </c>
      <c r="F11" s="6">
        <f t="shared" si="1"/>
        <v>-4.2888888888888932</v>
      </c>
    </row>
    <row r="12" spans="1:6" x14ac:dyDescent="0.25">
      <c r="A12" s="5" t="s">
        <v>6</v>
      </c>
      <c r="B12" s="10">
        <v>7300</v>
      </c>
      <c r="C12" s="10">
        <v>7154.6261838624323</v>
      </c>
      <c r="D12" s="10">
        <v>7288.9980158730159</v>
      </c>
      <c r="E12" s="6">
        <f t="shared" si="0"/>
        <v>1.8781111487510704</v>
      </c>
      <c r="F12" s="6">
        <f t="shared" si="1"/>
        <v>-0.15071211132854928</v>
      </c>
    </row>
    <row r="13" spans="1:6" x14ac:dyDescent="0.25">
      <c r="A13" s="5" t="s">
        <v>7</v>
      </c>
      <c r="B13" s="10">
        <v>8040</v>
      </c>
      <c r="C13" s="10">
        <v>8020.4990833333341</v>
      </c>
      <c r="D13" s="10">
        <v>8136.657522266667</v>
      </c>
      <c r="E13" s="6">
        <f t="shared" si="0"/>
        <v>1.4482694621175281</v>
      </c>
      <c r="F13" s="6">
        <f t="shared" si="1"/>
        <v>1.2022079883913805</v>
      </c>
    </row>
    <row r="14" spans="1:6" x14ac:dyDescent="0.25">
      <c r="A14" s="5" t="s">
        <v>8</v>
      </c>
      <c r="B14" s="10">
        <v>8283.3333333333339</v>
      </c>
      <c r="C14" s="10">
        <v>7785.6891203703699</v>
      </c>
      <c r="D14" s="10">
        <v>7385.4365079365061</v>
      </c>
      <c r="E14" s="6">
        <f t="shared" si="0"/>
        <v>-5.1408758588452796</v>
      </c>
      <c r="F14" s="6">
        <f t="shared" si="1"/>
        <v>-10.839800709016028</v>
      </c>
    </row>
    <row r="15" spans="1:6" x14ac:dyDescent="0.25">
      <c r="A15" s="5" t="s">
        <v>9</v>
      </c>
      <c r="B15" s="10">
        <v>7416.666666666667</v>
      </c>
      <c r="C15" s="10">
        <v>8093.0377160493663</v>
      </c>
      <c r="D15" s="10">
        <v>8124.5370370370365</v>
      </c>
      <c r="E15" s="6">
        <f>(D15-C15)/C15*100</f>
        <v>0.38921505240490439</v>
      </c>
      <c r="F15" s="6">
        <f t="shared" si="1"/>
        <v>9.5443196004993638</v>
      </c>
    </row>
    <row r="16" spans="1:6" ht="26.25" x14ac:dyDescent="0.25">
      <c r="A16" s="7" t="s">
        <v>11</v>
      </c>
      <c r="B16" s="9">
        <v>963.37837837837833</v>
      </c>
      <c r="C16" s="9">
        <v>923.83739706372978</v>
      </c>
      <c r="D16" s="9">
        <v>919.42014438108106</v>
      </c>
      <c r="E16" s="4">
        <f t="shared" si="0"/>
        <v>-0.47814179169280852</v>
      </c>
      <c r="F16" s="4">
        <f t="shared" si="1"/>
        <v>-4.5629251168466798</v>
      </c>
    </row>
    <row r="17" spans="1:6" x14ac:dyDescent="0.25">
      <c r="A17" s="5" t="s">
        <v>4</v>
      </c>
      <c r="B17" s="10">
        <v>962.85714285714289</v>
      </c>
      <c r="C17" s="10">
        <v>897.83001543209866</v>
      </c>
      <c r="D17" s="10">
        <v>974.5064774428572</v>
      </c>
      <c r="E17" s="6">
        <f t="shared" si="0"/>
        <v>8.5401981102020148</v>
      </c>
      <c r="F17" s="6">
        <f t="shared" si="1"/>
        <v>1.2098715445103887</v>
      </c>
    </row>
    <row r="18" spans="1:6" x14ac:dyDescent="0.25">
      <c r="A18" s="5" t="s">
        <v>5</v>
      </c>
      <c r="B18" s="10">
        <v>996.66666666666663</v>
      </c>
      <c r="C18" s="10">
        <v>889.10371450617197</v>
      </c>
      <c r="D18" s="10">
        <v>891.5</v>
      </c>
      <c r="E18" s="6">
        <f t="shared" si="0"/>
        <v>0.26951698150974229</v>
      </c>
      <c r="F18" s="6">
        <f t="shared" si="1"/>
        <v>-10.551839464882939</v>
      </c>
    </row>
    <row r="19" spans="1:6" x14ac:dyDescent="0.25">
      <c r="A19" s="5" t="s">
        <v>6</v>
      </c>
      <c r="B19" s="10">
        <v>957.14285714285711</v>
      </c>
      <c r="C19" s="10">
        <v>936.47848324514928</v>
      </c>
      <c r="D19" s="10">
        <v>908.57142857142856</v>
      </c>
      <c r="E19" s="6">
        <f t="shared" si="0"/>
        <v>-2.9799995593081099</v>
      </c>
      <c r="F19" s="6">
        <f t="shared" si="1"/>
        <v>-5.0746268656716405</v>
      </c>
    </row>
    <row r="20" spans="1:6" x14ac:dyDescent="0.25">
      <c r="A20" s="5" t="s">
        <v>7</v>
      </c>
      <c r="B20" s="10">
        <v>900</v>
      </c>
      <c r="C20" s="10">
        <v>907.64823148148002</v>
      </c>
      <c r="D20" s="10">
        <v>912</v>
      </c>
      <c r="E20" s="6">
        <f t="shared" si="0"/>
        <v>0.47945540657496116</v>
      </c>
      <c r="F20" s="6">
        <f t="shared" si="1"/>
        <v>1.3333333333333335</v>
      </c>
    </row>
    <row r="21" spans="1:6" x14ac:dyDescent="0.25">
      <c r="A21" s="5" t="s">
        <v>8</v>
      </c>
      <c r="B21" s="10">
        <v>1015.8333333333334</v>
      </c>
      <c r="C21" s="10">
        <v>939.11228395061732</v>
      </c>
      <c r="D21" s="10">
        <v>866.66666666666663</v>
      </c>
      <c r="E21" s="6">
        <f t="shared" si="0"/>
        <v>-7.7142657509695827</v>
      </c>
      <c r="F21" s="6">
        <f t="shared" si="1"/>
        <v>-14.684167350287128</v>
      </c>
    </row>
    <row r="22" spans="1:6" x14ac:dyDescent="0.25">
      <c r="A22" s="5" t="s">
        <v>9</v>
      </c>
      <c r="B22" s="10">
        <v>938.33333333333337</v>
      </c>
      <c r="C22" s="10">
        <v>972.38117541152178</v>
      </c>
      <c r="D22" s="10">
        <v>954.66666666666663</v>
      </c>
      <c r="E22" s="6">
        <f t="shared" si="0"/>
        <v>-1.8217659075267667</v>
      </c>
      <c r="F22" s="6">
        <f t="shared" si="1"/>
        <v>1.7406749555950185</v>
      </c>
    </row>
    <row r="23" spans="1:6" ht="26.25" x14ac:dyDescent="0.25">
      <c r="A23" s="7" t="s">
        <v>12</v>
      </c>
      <c r="B23" s="9">
        <v>456.2162162162162</v>
      </c>
      <c r="C23" s="9">
        <v>562.94526117784449</v>
      </c>
      <c r="D23" s="9">
        <v>581.51401942102109</v>
      </c>
      <c r="E23" s="4">
        <f t="shared" si="0"/>
        <v>3.2985015637799995</v>
      </c>
      <c r="F23" s="4">
        <f t="shared" si="1"/>
        <v>27.464565868351787</v>
      </c>
    </row>
    <row r="24" spans="1:6" x14ac:dyDescent="0.25">
      <c r="A24" s="5" t="s">
        <v>4</v>
      </c>
      <c r="B24" s="10">
        <v>452.85714285714283</v>
      </c>
      <c r="C24" s="10">
        <v>549.72013447971779</v>
      </c>
      <c r="D24" s="10">
        <v>585.15460487619043</v>
      </c>
      <c r="E24" s="6">
        <f t="shared" si="0"/>
        <v>6.4459109597667501</v>
      </c>
      <c r="F24" s="6">
        <f t="shared" si="1"/>
        <v>29.213950603575185</v>
      </c>
    </row>
    <row r="25" spans="1:6" x14ac:dyDescent="0.25">
      <c r="A25" s="5" t="s">
        <v>5</v>
      </c>
      <c r="B25" s="10">
        <v>491.66666666666669</v>
      </c>
      <c r="C25" s="10">
        <v>586.80965586419745</v>
      </c>
      <c r="D25" s="10">
        <v>597.70833333333337</v>
      </c>
      <c r="E25" s="6">
        <f t="shared" si="0"/>
        <v>1.8572764371242976</v>
      </c>
      <c r="F25" s="6">
        <f t="shared" si="1"/>
        <v>21.567796610169495</v>
      </c>
    </row>
    <row r="26" spans="1:6" x14ac:dyDescent="0.25">
      <c r="A26" s="5" t="s">
        <v>6</v>
      </c>
      <c r="B26" s="10">
        <v>392.14285714285717</v>
      </c>
      <c r="C26" s="10">
        <v>527.8080313051147</v>
      </c>
      <c r="D26" s="10">
        <v>542.17063492063482</v>
      </c>
      <c r="E26" s="6">
        <f t="shared" si="0"/>
        <v>2.7211794371536211</v>
      </c>
      <c r="F26" s="6">
        <f t="shared" si="1"/>
        <v>38.258449706537107</v>
      </c>
    </row>
    <row r="27" spans="1:6" x14ac:dyDescent="0.25">
      <c r="A27" s="5" t="s">
        <v>7</v>
      </c>
      <c r="B27" s="10">
        <v>454</v>
      </c>
      <c r="C27" s="10">
        <v>524.19450000000006</v>
      </c>
      <c r="D27" s="10">
        <v>528.69840800000065</v>
      </c>
      <c r="E27" s="6">
        <f t="shared" si="0"/>
        <v>0.8592055048270425</v>
      </c>
      <c r="F27" s="6">
        <f t="shared" si="1"/>
        <v>16.453393832599264</v>
      </c>
    </row>
    <row r="28" spans="1:6" x14ac:dyDescent="0.25">
      <c r="A28" s="5" t="s">
        <v>8</v>
      </c>
      <c r="B28" s="10">
        <v>430</v>
      </c>
      <c r="C28" s="10">
        <v>546.02039094650206</v>
      </c>
      <c r="D28" s="10">
        <v>573.05555555555543</v>
      </c>
      <c r="E28" s="6">
        <f t="shared" si="0"/>
        <v>4.9513104377272636</v>
      </c>
      <c r="F28" s="6">
        <f t="shared" si="1"/>
        <v>33.268733850129166</v>
      </c>
    </row>
    <row r="29" spans="1:6" x14ac:dyDescent="0.25">
      <c r="A29" s="5" t="s">
        <v>9</v>
      </c>
      <c r="B29" s="10">
        <v>527.5</v>
      </c>
      <c r="C29" s="10">
        <v>644.72078703703698</v>
      </c>
      <c r="D29" s="10">
        <v>659.44444444444446</v>
      </c>
      <c r="E29" s="6">
        <f t="shared" si="0"/>
        <v>2.2837261809214242</v>
      </c>
      <c r="F29" s="6">
        <f t="shared" si="1"/>
        <v>25.013164823591367</v>
      </c>
    </row>
    <row r="30" spans="1:6" ht="26.25" x14ac:dyDescent="0.25">
      <c r="A30" s="7" t="s">
        <v>13</v>
      </c>
      <c r="B30" s="9">
        <v>1402.8378378378379</v>
      </c>
      <c r="C30" s="9">
        <v>1506.9801564898235</v>
      </c>
      <c r="D30" s="9">
        <v>1550.9459459459461</v>
      </c>
      <c r="E30" s="4">
        <f t="shared" si="0"/>
        <v>2.9174763361536997</v>
      </c>
      <c r="F30" s="4">
        <f t="shared" si="1"/>
        <v>10.557749735092958</v>
      </c>
    </row>
    <row r="31" spans="1:6" x14ac:dyDescent="0.25">
      <c r="A31" s="5" t="s">
        <v>4</v>
      </c>
      <c r="B31" s="10">
        <v>1013.5714285714286</v>
      </c>
      <c r="C31" s="10">
        <v>1086.2869113756612</v>
      </c>
      <c r="D31" s="10">
        <v>1124.2857142857142</v>
      </c>
      <c r="E31" s="6">
        <f t="shared" si="0"/>
        <v>3.4980448086161444</v>
      </c>
      <c r="F31" s="6">
        <f>(D31-B31)/B31*100</f>
        <v>10.923185341789988</v>
      </c>
    </row>
    <row r="32" spans="1:6" x14ac:dyDescent="0.25">
      <c r="A32" s="5" t="s">
        <v>5</v>
      </c>
      <c r="B32" s="10">
        <v>776.66666666666663</v>
      </c>
      <c r="C32" s="10">
        <v>866.05955555555556</v>
      </c>
      <c r="D32" s="10">
        <v>895</v>
      </c>
      <c r="E32" s="6">
        <f t="shared" si="0"/>
        <v>3.3416229009654961</v>
      </c>
      <c r="F32" s="6">
        <f t="shared" si="1"/>
        <v>15.236051502145928</v>
      </c>
    </row>
    <row r="33" spans="1:6" x14ac:dyDescent="0.25">
      <c r="A33" s="5" t="s">
        <v>6</v>
      </c>
      <c r="B33" s="10">
        <v>821.42857142857144</v>
      </c>
      <c r="C33" s="10">
        <v>955.08822971781262</v>
      </c>
      <c r="D33" s="10">
        <v>987.14285714285711</v>
      </c>
      <c r="E33" s="6">
        <f t="shared" si="0"/>
        <v>3.3561954202404154</v>
      </c>
      <c r="F33" s="6">
        <f t="shared" si="1"/>
        <v>20.173913043478255</v>
      </c>
    </row>
    <row r="34" spans="1:6" x14ac:dyDescent="0.25">
      <c r="A34" s="5" t="s">
        <v>7</v>
      </c>
      <c r="B34" s="10">
        <v>930</v>
      </c>
      <c r="C34" s="10">
        <v>1077.2230493827165</v>
      </c>
      <c r="D34" s="10">
        <v>1102</v>
      </c>
      <c r="E34" s="6">
        <f t="shared" si="0"/>
        <v>2.3000761663502778</v>
      </c>
      <c r="F34" s="6">
        <f t="shared" si="1"/>
        <v>18.494623655913976</v>
      </c>
    </row>
    <row r="35" spans="1:6" x14ac:dyDescent="0.25">
      <c r="A35" s="5" t="s">
        <v>8</v>
      </c>
      <c r="B35" s="10">
        <v>3583.3333333333335</v>
      </c>
      <c r="C35" s="10">
        <v>3655.4882458847737</v>
      </c>
      <c r="D35" s="10">
        <v>3763.3333333333335</v>
      </c>
      <c r="E35" s="6">
        <f t="shared" si="0"/>
        <v>2.9502238878751186</v>
      </c>
      <c r="F35" s="6">
        <f t="shared" si="1"/>
        <v>5.0232558139534884</v>
      </c>
    </row>
    <row r="36" spans="1:6" x14ac:dyDescent="0.25">
      <c r="A36" s="5" t="s">
        <v>9</v>
      </c>
      <c r="B36" s="10">
        <v>1375</v>
      </c>
      <c r="C36" s="10">
        <v>1492.2062911522644</v>
      </c>
      <c r="D36" s="10">
        <v>1524.1666666666667</v>
      </c>
      <c r="E36" s="6">
        <f t="shared" si="0"/>
        <v>2.1418201828999748</v>
      </c>
      <c r="F36" s="6">
        <f t="shared" si="1"/>
        <v>10.848484848484855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I38"/>
  <sheetViews>
    <sheetView tabSelected="1" workbookViewId="0">
      <selection activeCell="B6" sqref="B6"/>
    </sheetView>
  </sheetViews>
  <sheetFormatPr defaultColWidth="8.85546875" defaultRowHeight="15" x14ac:dyDescent="0.25"/>
  <cols>
    <col min="1" max="1" width="11.7109375" style="3" bestFit="1" customWidth="1"/>
    <col min="2" max="2" width="11.5703125" style="3" customWidth="1"/>
    <col min="3" max="3" width="15.7109375" style="3" customWidth="1"/>
    <col min="4" max="4" width="15.28515625" style="3" customWidth="1"/>
    <col min="5" max="7" width="14.28515625" style="3" customWidth="1"/>
    <col min="8" max="13" width="12.140625" style="3" bestFit="1" customWidth="1"/>
    <col min="14" max="14" width="12.28515625" style="3" customWidth="1"/>
    <col min="15" max="15" width="13.28515625" style="3" customWidth="1"/>
    <col min="16" max="16" width="14" style="3" customWidth="1"/>
    <col min="17" max="19" width="12.140625" style="3" customWidth="1"/>
    <col min="20" max="25" width="11.28515625" style="3" bestFit="1" customWidth="1"/>
    <col min="26" max="26" width="13.5703125" style="3" customWidth="1"/>
    <col min="27" max="27" width="16.28515625" style="3" customWidth="1"/>
    <col min="28" max="28" width="13.28515625" style="3" customWidth="1"/>
    <col min="29" max="31" width="12.140625" style="3" customWidth="1"/>
    <col min="32" max="37" width="11.42578125" style="3" bestFit="1" customWidth="1"/>
    <col min="38" max="38" width="17.5703125" style="3" customWidth="1"/>
    <col min="39" max="39" width="17" style="3" customWidth="1"/>
    <col min="40" max="40" width="16.140625" style="3" customWidth="1"/>
    <col min="41" max="45" width="10.7109375" style="3" customWidth="1"/>
    <col min="46" max="46" width="15.5703125" style="3" customWidth="1"/>
    <col min="47" max="49" width="10.7109375" style="3" customWidth="1"/>
    <col min="50" max="51" width="20.28515625" style="3" customWidth="1"/>
    <col min="52" max="52" width="14.85546875" style="3" customWidth="1"/>
    <col min="53" max="55" width="10.140625" style="3" customWidth="1"/>
    <col min="56" max="56" width="14.5703125" style="3" customWidth="1"/>
    <col min="57" max="57" width="10.85546875" style="3" bestFit="1" customWidth="1"/>
    <col min="58" max="58" width="13.140625" style="3" customWidth="1"/>
    <col min="59" max="59" width="14.7109375" style="3" customWidth="1"/>
    <col min="60" max="60" width="13.85546875" style="3" customWidth="1"/>
    <col min="61" max="61" width="15.28515625" style="3" customWidth="1"/>
    <col min="62" max="16384" width="8.85546875" style="3"/>
  </cols>
  <sheetData>
    <row r="1" spans="1:61" ht="90" x14ac:dyDescent="0.25">
      <c r="A1" s="16" t="s">
        <v>17</v>
      </c>
      <c r="B1" s="14" t="s">
        <v>54</v>
      </c>
      <c r="C1" s="19" t="s">
        <v>63</v>
      </c>
      <c r="D1" s="14" t="s">
        <v>64</v>
      </c>
      <c r="E1" s="19" t="s">
        <v>69</v>
      </c>
      <c r="F1" s="19" t="s">
        <v>78</v>
      </c>
      <c r="G1" s="19" t="s">
        <v>79</v>
      </c>
      <c r="H1" s="19" t="s">
        <v>88</v>
      </c>
      <c r="I1" s="19" t="s">
        <v>89</v>
      </c>
      <c r="J1" s="19" t="s">
        <v>92</v>
      </c>
      <c r="K1" s="19" t="s">
        <v>99</v>
      </c>
      <c r="L1" s="19" t="s">
        <v>108</v>
      </c>
      <c r="M1" s="19" t="s">
        <v>109</v>
      </c>
      <c r="N1" s="14" t="s">
        <v>56</v>
      </c>
      <c r="O1" s="19" t="s">
        <v>62</v>
      </c>
      <c r="P1" s="14" t="s">
        <v>65</v>
      </c>
      <c r="Q1" s="19" t="s">
        <v>70</v>
      </c>
      <c r="R1" s="19" t="s">
        <v>77</v>
      </c>
      <c r="S1" s="19" t="s">
        <v>80</v>
      </c>
      <c r="T1" s="19" t="s">
        <v>87</v>
      </c>
      <c r="U1" s="19" t="s">
        <v>98</v>
      </c>
      <c r="V1" s="19" t="s">
        <v>93</v>
      </c>
      <c r="W1" s="19" t="s">
        <v>100</v>
      </c>
      <c r="X1" s="19" t="s">
        <v>107</v>
      </c>
      <c r="Y1" s="19" t="s">
        <v>110</v>
      </c>
      <c r="Z1" s="14" t="s">
        <v>55</v>
      </c>
      <c r="AA1" s="19" t="s">
        <v>61</v>
      </c>
      <c r="AB1" s="14" t="s">
        <v>66</v>
      </c>
      <c r="AC1" s="19" t="s">
        <v>71</v>
      </c>
      <c r="AD1" s="19" t="s">
        <v>76</v>
      </c>
      <c r="AE1" s="19" t="s">
        <v>81</v>
      </c>
      <c r="AF1" s="19" t="s">
        <v>86</v>
      </c>
      <c r="AG1" s="19" t="s">
        <v>97</v>
      </c>
      <c r="AH1" s="19" t="s">
        <v>96</v>
      </c>
      <c r="AI1" s="19" t="s">
        <v>101</v>
      </c>
      <c r="AJ1" s="19" t="s">
        <v>106</v>
      </c>
      <c r="AK1" s="19" t="s">
        <v>111</v>
      </c>
      <c r="AL1" s="14" t="s">
        <v>57</v>
      </c>
      <c r="AM1" s="19" t="s">
        <v>60</v>
      </c>
      <c r="AN1" s="14" t="s">
        <v>67</v>
      </c>
      <c r="AO1" s="19" t="s">
        <v>72</v>
      </c>
      <c r="AP1" s="19" t="s">
        <v>75</v>
      </c>
      <c r="AQ1" s="19" t="s">
        <v>82</v>
      </c>
      <c r="AR1" s="19" t="s">
        <v>85</v>
      </c>
      <c r="AS1" s="19" t="s">
        <v>90</v>
      </c>
      <c r="AT1" s="19" t="s">
        <v>95</v>
      </c>
      <c r="AU1" s="19" t="s">
        <v>102</v>
      </c>
      <c r="AV1" s="19" t="s">
        <v>105</v>
      </c>
      <c r="AW1" s="19" t="s">
        <v>112</v>
      </c>
      <c r="AX1" s="14" t="s">
        <v>58</v>
      </c>
      <c r="AY1" s="19" t="s">
        <v>59</v>
      </c>
      <c r="AZ1" s="14" t="s">
        <v>68</v>
      </c>
      <c r="BA1" s="19" t="s">
        <v>73</v>
      </c>
      <c r="BB1" s="19" t="s">
        <v>74</v>
      </c>
      <c r="BC1" s="19" t="s">
        <v>83</v>
      </c>
      <c r="BD1" s="19" t="s">
        <v>84</v>
      </c>
      <c r="BE1" s="19" t="s">
        <v>91</v>
      </c>
      <c r="BF1" s="19" t="s">
        <v>94</v>
      </c>
      <c r="BG1" s="19" t="s">
        <v>103</v>
      </c>
      <c r="BH1" s="19" t="s">
        <v>104</v>
      </c>
      <c r="BI1" s="19" t="s">
        <v>113</v>
      </c>
    </row>
    <row r="2" spans="1:61" x14ac:dyDescent="0.25">
      <c r="A2" s="17" t="s">
        <v>18</v>
      </c>
      <c r="B2" s="11">
        <v>126550</v>
      </c>
      <c r="C2" s="10">
        <v>126700</v>
      </c>
      <c r="D2" s="11">
        <v>127432</v>
      </c>
      <c r="E2" s="10">
        <v>127530</v>
      </c>
      <c r="F2" s="10">
        <v>127550</v>
      </c>
      <c r="G2" s="10">
        <v>127608.15</v>
      </c>
      <c r="H2" s="10">
        <v>127665.783943</v>
      </c>
      <c r="I2" s="10">
        <v>127681.659088916</v>
      </c>
      <c r="J2" s="10">
        <v>127700.178965908</v>
      </c>
      <c r="K2" s="10">
        <v>129900.178965908</v>
      </c>
      <c r="L2" s="10">
        <v>130406.455</v>
      </c>
      <c r="M2" s="10">
        <v>310072.65022500005</v>
      </c>
      <c r="N2" s="11">
        <v>8551.6866239999999</v>
      </c>
      <c r="O2" s="10">
        <v>8657.6169831999996</v>
      </c>
      <c r="P2" s="11">
        <v>8680.2280132695196</v>
      </c>
      <c r="Q2" s="10">
        <v>8706.9755077029695</v>
      </c>
      <c r="R2" s="10">
        <v>8720.9755077029695</v>
      </c>
      <c r="S2" s="10">
        <v>8754.3481893031094</v>
      </c>
      <c r="T2" s="10">
        <v>8845.1260940940574</v>
      </c>
      <c r="U2" s="10">
        <v>9064.6985186763377</v>
      </c>
      <c r="V2" s="10">
        <v>9066.8269851867608</v>
      </c>
      <c r="W2" s="10">
        <v>9071.0826985186704</v>
      </c>
      <c r="X2" s="10">
        <v>9087.1280719999995</v>
      </c>
      <c r="Y2" s="10">
        <v>9524.4850836400001</v>
      </c>
      <c r="Z2" s="11">
        <v>470</v>
      </c>
      <c r="AA2" s="10">
        <v>475</v>
      </c>
      <c r="AB2" s="11">
        <v>477</v>
      </c>
      <c r="AC2" s="10">
        <v>489.38805180638701</v>
      </c>
      <c r="AD2" s="10">
        <v>500.38805180638701</v>
      </c>
      <c r="AE2" s="10">
        <v>504.89309647987</v>
      </c>
      <c r="AF2" s="10">
        <v>507.51150605757545</v>
      </c>
      <c r="AG2" s="10">
        <v>512.95661274924055</v>
      </c>
      <c r="AH2" s="10">
        <v>542.43956612749196</v>
      </c>
      <c r="AI2" s="10">
        <v>548.44395661274905</v>
      </c>
      <c r="AJ2" s="10">
        <v>577.12807199999997</v>
      </c>
      <c r="AK2" s="10">
        <v>640.08899148</v>
      </c>
      <c r="AL2" s="11">
        <v>509.49203999999997</v>
      </c>
      <c r="AM2" s="10">
        <v>530.58696050000003</v>
      </c>
      <c r="AN2" s="11">
        <v>550</v>
      </c>
      <c r="AO2" s="10">
        <v>671.81680996014984</v>
      </c>
      <c r="AP2" s="10">
        <v>672.22816809960102</v>
      </c>
      <c r="AQ2" s="10">
        <v>675.96713428489602</v>
      </c>
      <c r="AR2" s="10">
        <v>680.79791418872298</v>
      </c>
      <c r="AS2" s="10">
        <v>681.60510768135805</v>
      </c>
      <c r="AT2" s="10">
        <v>687.17860510768105</v>
      </c>
      <c r="AU2" s="10">
        <v>690.66178605107598</v>
      </c>
      <c r="AV2" s="10">
        <v>702.25711999999999</v>
      </c>
      <c r="AW2" s="10">
        <v>780.96353999999997</v>
      </c>
      <c r="AX2" s="15">
        <v>780</v>
      </c>
      <c r="AY2" s="20">
        <v>800</v>
      </c>
      <c r="AZ2" s="15">
        <v>840</v>
      </c>
      <c r="BA2" s="20">
        <v>850</v>
      </c>
      <c r="BB2" s="20">
        <v>850</v>
      </c>
      <c r="BC2" s="20">
        <v>856.05</v>
      </c>
      <c r="BD2" s="20">
        <v>862.10048099999995</v>
      </c>
      <c r="BE2" s="20">
        <v>866.20545862964298</v>
      </c>
      <c r="BF2" s="20">
        <v>868.56672054586204</v>
      </c>
      <c r="BG2" s="20">
        <v>870.74566720545795</v>
      </c>
      <c r="BH2" s="20">
        <v>1000</v>
      </c>
      <c r="BI2" s="20">
        <v>1100</v>
      </c>
    </row>
    <row r="3" spans="1:61" x14ac:dyDescent="0.25">
      <c r="A3" s="17" t="s">
        <v>114</v>
      </c>
      <c r="B3" s="12">
        <v>129350</v>
      </c>
      <c r="C3" s="10">
        <v>129440</v>
      </c>
      <c r="D3" s="12">
        <v>130932</v>
      </c>
      <c r="E3" s="10">
        <v>133240</v>
      </c>
      <c r="F3" s="10">
        <v>133550</v>
      </c>
      <c r="G3" s="10">
        <v>134000</v>
      </c>
      <c r="H3" s="10">
        <v>134200</v>
      </c>
      <c r="I3" s="10">
        <v>134886.83684436558</v>
      </c>
      <c r="J3" s="10">
        <v>134888.84663684401</v>
      </c>
      <c r="K3" s="10">
        <v>136339.08799999999</v>
      </c>
      <c r="L3" s="10">
        <v>136964.58824000001</v>
      </c>
      <c r="M3" s="10">
        <v>297427.59059520019</v>
      </c>
      <c r="N3" s="12">
        <v>8288</v>
      </c>
      <c r="O3" s="10">
        <v>8330</v>
      </c>
      <c r="P3" s="12">
        <v>8409.3549999999996</v>
      </c>
      <c r="Q3" s="10">
        <v>8414.4624999999996</v>
      </c>
      <c r="R3" s="10">
        <v>8800.9528333333001</v>
      </c>
      <c r="S3" s="10">
        <v>9000.0769528333294</v>
      </c>
      <c r="T3" s="10">
        <v>9020.8707695283301</v>
      </c>
      <c r="U3" s="10">
        <v>9144.7867915030165</v>
      </c>
      <c r="V3" s="10">
        <v>9146.7228679150303</v>
      </c>
      <c r="W3" s="10">
        <v>9150.1722867914996</v>
      </c>
      <c r="X3" s="10">
        <v>9170.3745799999997</v>
      </c>
      <c r="Y3" s="10">
        <v>9562.5550633000003</v>
      </c>
      <c r="Z3" s="12">
        <v>860</v>
      </c>
      <c r="AA3" s="10">
        <v>870</v>
      </c>
      <c r="AB3" s="12">
        <v>900</v>
      </c>
      <c r="AC3" s="10">
        <v>920</v>
      </c>
      <c r="AD3" s="10">
        <v>950</v>
      </c>
      <c r="AE3" s="10">
        <v>950</v>
      </c>
      <c r="AF3" s="10">
        <v>960.55</v>
      </c>
      <c r="AG3" s="10">
        <v>965.00951041057601</v>
      </c>
      <c r="AH3" s="10">
        <v>972.64709510410501</v>
      </c>
      <c r="AI3" s="10">
        <v>973.86709510410503</v>
      </c>
      <c r="AJ3" s="10">
        <v>985.24494000000004</v>
      </c>
      <c r="AK3" s="10">
        <v>1016.2505169</v>
      </c>
      <c r="AL3" s="12">
        <v>680</v>
      </c>
      <c r="AM3" s="10">
        <v>640</v>
      </c>
      <c r="AN3" s="12">
        <v>778.30399999999997</v>
      </c>
      <c r="AO3" s="10">
        <v>707.62666666666667</v>
      </c>
      <c r="AP3" s="10">
        <v>761.07013333333327</v>
      </c>
      <c r="AQ3" s="10">
        <v>769.95701333333295</v>
      </c>
      <c r="AR3" s="10">
        <v>770.10957013333302</v>
      </c>
      <c r="AS3" s="10">
        <v>773.077423357562</v>
      </c>
      <c r="AT3" s="10">
        <v>777.16777423357496</v>
      </c>
      <c r="AU3" s="10">
        <v>779.21677742335703</v>
      </c>
      <c r="AV3" s="10">
        <v>792.25711999999999</v>
      </c>
      <c r="AW3" s="10">
        <v>850.28393359999995</v>
      </c>
      <c r="AX3" s="13">
        <v>700</v>
      </c>
      <c r="AY3" s="20">
        <v>730</v>
      </c>
      <c r="AZ3" s="13">
        <v>750</v>
      </c>
      <c r="BA3" s="20">
        <v>750</v>
      </c>
      <c r="BB3" s="20">
        <v>850</v>
      </c>
      <c r="BC3" s="20">
        <v>900.07500000000005</v>
      </c>
      <c r="BD3" s="20">
        <v>900.77499999999998</v>
      </c>
      <c r="BE3" s="20">
        <v>905.67558143164194</v>
      </c>
      <c r="BF3" s="20">
        <v>908.45678546755801</v>
      </c>
      <c r="BG3" s="20">
        <v>928.34567854675504</v>
      </c>
      <c r="BH3" s="20">
        <v>958.34567854675504</v>
      </c>
      <c r="BI3" s="20">
        <v>1028.3456785467499</v>
      </c>
    </row>
    <row r="4" spans="1:61" x14ac:dyDescent="0.25">
      <c r="A4" s="17" t="s">
        <v>19</v>
      </c>
      <c r="B4" s="12">
        <v>124750</v>
      </c>
      <c r="C4" s="10">
        <v>125500</v>
      </c>
      <c r="D4" s="12">
        <v>135932</v>
      </c>
      <c r="E4" s="10">
        <v>136430</v>
      </c>
      <c r="F4" s="10">
        <v>136550</v>
      </c>
      <c r="G4" s="10">
        <v>134650</v>
      </c>
      <c r="H4" s="10">
        <v>135850.95050000001</v>
      </c>
      <c r="I4" s="10">
        <v>136653.549868228</v>
      </c>
      <c r="J4" s="10">
        <v>136666.15498682199</v>
      </c>
      <c r="K4" s="10">
        <v>138677.15498682199</v>
      </c>
      <c r="L4" s="10">
        <v>148677.15498682199</v>
      </c>
      <c r="M4" s="10">
        <v>213677.15498682199</v>
      </c>
      <c r="N4" s="12">
        <v>7800</v>
      </c>
      <c r="O4" s="10">
        <v>7850</v>
      </c>
      <c r="P4" s="12">
        <v>7880</v>
      </c>
      <c r="Q4" s="10">
        <v>7719.8579999999984</v>
      </c>
      <c r="R4" s="10">
        <v>7805.9528333333001</v>
      </c>
      <c r="S4" s="10">
        <v>7808.5952833333304</v>
      </c>
      <c r="T4" s="10">
        <v>7814.1393859844966</v>
      </c>
      <c r="U4" s="10">
        <v>7829.3010527735942</v>
      </c>
      <c r="V4" s="10">
        <v>7830.2473010527701</v>
      </c>
      <c r="W4" s="10">
        <v>7850.2247301052703</v>
      </c>
      <c r="X4" s="10">
        <v>7404.78413</v>
      </c>
      <c r="Y4" s="10">
        <v>8095.76717405</v>
      </c>
      <c r="Z4" s="18">
        <v>460</v>
      </c>
      <c r="AA4" s="10">
        <v>480</v>
      </c>
      <c r="AB4" s="12">
        <v>500</v>
      </c>
      <c r="AC4" s="10">
        <v>550</v>
      </c>
      <c r="AD4" s="10">
        <v>589.5</v>
      </c>
      <c r="AE4" s="10">
        <v>570</v>
      </c>
      <c r="AF4" s="10">
        <v>580</v>
      </c>
      <c r="AG4" s="10">
        <v>607.34737746226335</v>
      </c>
      <c r="AH4" s="10">
        <v>611.35547377462206</v>
      </c>
      <c r="AI4" s="10">
        <v>631.43554737746194</v>
      </c>
      <c r="AJ4" s="10">
        <v>666.50383999999997</v>
      </c>
      <c r="AK4" s="10">
        <v>714.10781840000004</v>
      </c>
      <c r="AL4" s="12">
        <v>500</v>
      </c>
      <c r="AM4" s="10">
        <v>550</v>
      </c>
      <c r="AN4" s="12">
        <v>500</v>
      </c>
      <c r="AO4" s="10">
        <v>550</v>
      </c>
      <c r="AP4" s="10">
        <v>560.07013333333305</v>
      </c>
      <c r="AQ4" s="10">
        <v>560.07013333333305</v>
      </c>
      <c r="AR4" s="10">
        <v>580.46778312799995</v>
      </c>
      <c r="AS4" s="10">
        <v>636.25000595578126</v>
      </c>
      <c r="AT4" s="10">
        <v>641.13250005955695</v>
      </c>
      <c r="AU4" s="10">
        <v>647.13250005955001</v>
      </c>
      <c r="AV4" s="10">
        <v>676.13769000000002</v>
      </c>
      <c r="AW4" s="10">
        <v>707.53204564999999</v>
      </c>
      <c r="AX4" s="13">
        <v>1350</v>
      </c>
      <c r="AY4" s="20">
        <v>1380</v>
      </c>
      <c r="AZ4" s="13">
        <v>1400</v>
      </c>
      <c r="BA4" s="20">
        <v>1400</v>
      </c>
      <c r="BB4" s="20">
        <v>1450</v>
      </c>
      <c r="BC4" s="20">
        <v>1450</v>
      </c>
      <c r="BD4" s="20">
        <v>1455.1295</v>
      </c>
      <c r="BE4" s="20">
        <v>1469.1573372692681</v>
      </c>
      <c r="BF4" s="20">
        <v>1470.3415733726899</v>
      </c>
      <c r="BG4" s="20">
        <v>1470.8634157337201</v>
      </c>
      <c r="BH4" s="20">
        <v>1571.152</v>
      </c>
      <c r="BI4" s="20">
        <v>1644.2764</v>
      </c>
    </row>
    <row r="5" spans="1:61" x14ac:dyDescent="0.25">
      <c r="A5" s="17" t="s">
        <v>20</v>
      </c>
      <c r="B5" s="12">
        <v>126666.66666666701</v>
      </c>
      <c r="C5" s="10">
        <v>125666.66666666701</v>
      </c>
      <c r="D5" s="12">
        <v>125861.4</v>
      </c>
      <c r="E5" s="10">
        <v>125960.4</v>
      </c>
      <c r="F5" s="10">
        <v>125980</v>
      </c>
      <c r="G5" s="10">
        <v>125600.21980000001</v>
      </c>
      <c r="H5" s="10">
        <v>126000.9198</v>
      </c>
      <c r="I5" s="10">
        <v>126426.21472275299</v>
      </c>
      <c r="J5" s="10">
        <v>126486.965214722</v>
      </c>
      <c r="K5" s="10">
        <v>126880.679652147</v>
      </c>
      <c r="L5" s="10">
        <v>127406.455</v>
      </c>
      <c r="M5" s="10">
        <v>312146.71477500012</v>
      </c>
      <c r="N5" s="12">
        <v>8300</v>
      </c>
      <c r="O5" s="10">
        <v>8464.2857141999993</v>
      </c>
      <c r="P5" s="12">
        <v>8520.9678570386204</v>
      </c>
      <c r="Q5" s="10">
        <v>8588.8392856874998</v>
      </c>
      <c r="R5" s="10">
        <v>8531.9642856949995</v>
      </c>
      <c r="S5" s="10">
        <v>8549.1135339092471</v>
      </c>
      <c r="T5" s="10">
        <v>8549.6135339092507</v>
      </c>
      <c r="U5" s="10">
        <v>8550.7309027823703</v>
      </c>
      <c r="V5" s="10">
        <v>8562.2273090278195</v>
      </c>
      <c r="W5" s="10">
        <v>8566.5522730902703</v>
      </c>
      <c r="X5" s="10">
        <v>8643.0644200000006</v>
      </c>
      <c r="Y5" s="10">
        <v>8833.9385134999993</v>
      </c>
      <c r="Z5" s="12">
        <v>930</v>
      </c>
      <c r="AA5" s="10">
        <v>950</v>
      </c>
      <c r="AB5" s="12">
        <v>980</v>
      </c>
      <c r="AC5" s="10">
        <v>1000.28571425</v>
      </c>
      <c r="AD5" s="10">
        <v>1020.8464285275001</v>
      </c>
      <c r="AE5" s="10">
        <v>1010.8464285275001</v>
      </c>
      <c r="AF5" s="10">
        <v>1020.9464285275</v>
      </c>
      <c r="AG5" s="10">
        <v>1043.5172797643856</v>
      </c>
      <c r="AH5" s="10">
        <v>1052.3517279764301</v>
      </c>
      <c r="AI5" s="10">
        <v>1066.5351727976399</v>
      </c>
      <c r="AJ5" s="10">
        <v>1078.376536</v>
      </c>
      <c r="AK5" s="10">
        <v>1132.30922164</v>
      </c>
      <c r="AL5" s="12">
        <v>450</v>
      </c>
      <c r="AM5" s="10">
        <v>480</v>
      </c>
      <c r="AN5" s="12">
        <v>550</v>
      </c>
      <c r="AO5" s="10">
        <v>580</v>
      </c>
      <c r="AP5" s="10">
        <v>640.25</v>
      </c>
      <c r="AQ5" s="10">
        <v>648.5369025</v>
      </c>
      <c r="AR5" s="10">
        <v>646.5369025</v>
      </c>
      <c r="AS5" s="10">
        <v>653.11983931331611</v>
      </c>
      <c r="AT5" s="10">
        <v>663.85198393133101</v>
      </c>
      <c r="AU5" s="10">
        <v>680.53851983931304</v>
      </c>
      <c r="AV5" s="10">
        <v>724.33417142860003</v>
      </c>
      <c r="AW5" s="10">
        <v>776.08428228570006</v>
      </c>
      <c r="AX5" s="13">
        <v>2500</v>
      </c>
      <c r="AY5" s="20">
        <v>2550</v>
      </c>
      <c r="AZ5" s="13">
        <v>2580</v>
      </c>
      <c r="BA5" s="20">
        <v>2750</v>
      </c>
      <c r="BB5" s="20">
        <v>2780</v>
      </c>
      <c r="BC5" s="20">
        <v>2780</v>
      </c>
      <c r="BD5" s="20">
        <v>2790</v>
      </c>
      <c r="BE5" s="20">
        <v>2812.3473774622635</v>
      </c>
      <c r="BF5" s="20">
        <v>2864.5347377462199</v>
      </c>
      <c r="BG5" s="20">
        <v>2874.2553473774601</v>
      </c>
      <c r="BH5" s="20">
        <v>2983.4463999999998</v>
      </c>
      <c r="BI5" s="20">
        <v>3091.9077280000001</v>
      </c>
    </row>
    <row r="6" spans="1:61" x14ac:dyDescent="0.25">
      <c r="A6" s="17" t="s">
        <v>21</v>
      </c>
      <c r="B6" s="12">
        <v>127100</v>
      </c>
      <c r="C6" s="10">
        <v>127500</v>
      </c>
      <c r="D6" s="12">
        <v>126932</v>
      </c>
      <c r="E6" s="10">
        <v>127950</v>
      </c>
      <c r="F6" s="10">
        <v>127980</v>
      </c>
      <c r="G6" s="10">
        <v>128018.52198</v>
      </c>
      <c r="H6" s="10">
        <v>128031.45185071998</v>
      </c>
      <c r="I6" s="10">
        <v>128058.6533846146</v>
      </c>
      <c r="J6" s="10">
        <v>128068.65653384601</v>
      </c>
      <c r="K6" s="10">
        <v>128972.236565338</v>
      </c>
      <c r="L6" s="10">
        <v>129064.58824</v>
      </c>
      <c r="M6" s="10">
        <v>302451.7053012001</v>
      </c>
      <c r="N6" s="12">
        <v>9700</v>
      </c>
      <c r="O6" s="10">
        <v>9750</v>
      </c>
      <c r="P6" s="12">
        <v>9800</v>
      </c>
      <c r="Q6" s="10">
        <v>9821.9363365093395</v>
      </c>
      <c r="R6" s="10">
        <v>9858.3579100967509</v>
      </c>
      <c r="S6" s="10">
        <v>9761.3252758276903</v>
      </c>
      <c r="T6" s="10">
        <v>9862.3212696805476</v>
      </c>
      <c r="U6" s="10">
        <v>9550.7940785358005</v>
      </c>
      <c r="V6" s="10">
        <v>9681.2794078535007</v>
      </c>
      <c r="W6" s="10">
        <v>10101.1102794078</v>
      </c>
      <c r="X6" s="10">
        <v>10121.058344999999</v>
      </c>
      <c r="Y6" s="10">
        <v>10154.520275875</v>
      </c>
      <c r="Z6" s="12">
        <v>940</v>
      </c>
      <c r="AA6" s="10">
        <v>950</v>
      </c>
      <c r="AB6" s="12">
        <v>980</v>
      </c>
      <c r="AC6" s="10">
        <v>1068.88123135</v>
      </c>
      <c r="AD6" s="10">
        <v>1069.389829858</v>
      </c>
      <c r="AE6" s="10">
        <v>1079.7117161967899</v>
      </c>
      <c r="AF6" s="10">
        <v>1069.8197570801233</v>
      </c>
      <c r="AG6" s="10">
        <v>1080.0470507486771</v>
      </c>
      <c r="AH6" s="10">
        <v>1085.4988470507401</v>
      </c>
      <c r="AI6" s="10">
        <v>1085.9979884705001</v>
      </c>
      <c r="AJ6" s="10">
        <v>1153.702495</v>
      </c>
      <c r="AK6" s="10">
        <v>1389.2446374250001</v>
      </c>
      <c r="AL6" s="12">
        <v>350</v>
      </c>
      <c r="AM6" s="10">
        <v>380</v>
      </c>
      <c r="AN6" s="12">
        <v>430</v>
      </c>
      <c r="AO6" s="10">
        <v>500</v>
      </c>
      <c r="AP6" s="10">
        <v>528.42654000000005</v>
      </c>
      <c r="AQ6" s="10">
        <v>530.58559638854001</v>
      </c>
      <c r="AR6" s="10">
        <v>534</v>
      </c>
      <c r="AS6" s="10">
        <v>541.18313566921745</v>
      </c>
      <c r="AT6" s="10">
        <v>552.68818313566896</v>
      </c>
      <c r="AU6" s="10">
        <v>560.68818313500003</v>
      </c>
      <c r="AV6" s="10">
        <v>636.82439999999997</v>
      </c>
      <c r="AW6" s="10">
        <v>738.71057399999995</v>
      </c>
      <c r="AX6" s="13">
        <v>930</v>
      </c>
      <c r="AY6" s="20">
        <v>950</v>
      </c>
      <c r="AZ6" s="13">
        <v>970</v>
      </c>
      <c r="BA6" s="20">
        <v>980</v>
      </c>
      <c r="BB6" s="20">
        <v>985</v>
      </c>
      <c r="BC6" s="20">
        <v>985.29648499999996</v>
      </c>
      <c r="BD6" s="20">
        <v>987.39599994498496</v>
      </c>
      <c r="BE6" s="20">
        <v>991.81290620608399</v>
      </c>
      <c r="BF6" s="20">
        <v>996.95498129062003</v>
      </c>
      <c r="BG6" s="20">
        <v>997.779549812906</v>
      </c>
      <c r="BH6" s="20">
        <v>983.44640000000004</v>
      </c>
      <c r="BI6" s="20">
        <v>1052.2388000000001</v>
      </c>
    </row>
    <row r="7" spans="1:61" x14ac:dyDescent="0.25">
      <c r="A7" s="17" t="s">
        <v>22</v>
      </c>
      <c r="B7" s="12">
        <v>123550</v>
      </c>
      <c r="C7" s="10">
        <v>125400</v>
      </c>
      <c r="D7" s="12">
        <v>125550</v>
      </c>
      <c r="E7" s="10">
        <v>126450.800714</v>
      </c>
      <c r="F7" s="10">
        <v>126980</v>
      </c>
      <c r="G7" s="10">
        <v>127043.61698000001</v>
      </c>
      <c r="H7" s="10">
        <v>127095.32373211088</v>
      </c>
      <c r="I7" s="10">
        <v>127204.10308502051</v>
      </c>
      <c r="J7" s="10">
        <v>127245.13803084999</v>
      </c>
      <c r="K7" s="10">
        <v>127972.236565338</v>
      </c>
      <c r="L7" s="10">
        <v>128064.58824</v>
      </c>
      <c r="M7" s="10">
        <v>252403.4758892</v>
      </c>
      <c r="N7" s="12">
        <v>6450</v>
      </c>
      <c r="O7" s="10">
        <v>6650</v>
      </c>
      <c r="P7" s="12">
        <v>6700</v>
      </c>
      <c r="Q7" s="10">
        <v>6755.74</v>
      </c>
      <c r="R7" s="10">
        <v>6872.3991999999998</v>
      </c>
      <c r="S7" s="10">
        <v>6875.8422719992004</v>
      </c>
      <c r="T7" s="10">
        <v>6878.6407398039046</v>
      </c>
      <c r="U7" s="10">
        <v>6884.5280853536979</v>
      </c>
      <c r="V7" s="10">
        <v>6884.7662808535297</v>
      </c>
      <c r="W7" s="10">
        <v>6887.1476628085302</v>
      </c>
      <c r="X7" s="10">
        <v>7442.8298219999997</v>
      </c>
      <c r="Y7" s="10">
        <v>7889.4763324699998</v>
      </c>
      <c r="Z7" s="12">
        <v>950</v>
      </c>
      <c r="AA7" s="10">
        <v>980</v>
      </c>
      <c r="AB7" s="12">
        <v>1000</v>
      </c>
      <c r="AC7" s="10">
        <v>1235.4175132625001</v>
      </c>
      <c r="AD7" s="10">
        <v>1243.8509143235001</v>
      </c>
      <c r="AE7" s="10">
        <v>1204.47408363158</v>
      </c>
      <c r="AF7" s="10">
        <v>1214.9805845836099</v>
      </c>
      <c r="AG7" s="10">
        <v>1237.0838946591643</v>
      </c>
      <c r="AH7" s="10">
        <v>1237.58389465916</v>
      </c>
      <c r="AI7" s="10">
        <v>1247.65838946591</v>
      </c>
      <c r="AJ7" s="10">
        <v>1286.7695162667001</v>
      </c>
      <c r="AK7" s="10">
        <v>1423.5424790960001</v>
      </c>
      <c r="AL7" s="12">
        <v>450</v>
      </c>
      <c r="AM7" s="10">
        <v>500</v>
      </c>
      <c r="AN7" s="12">
        <v>550</v>
      </c>
      <c r="AO7" s="10">
        <v>585.11625000000004</v>
      </c>
      <c r="AP7" s="10">
        <v>595.92555000000004</v>
      </c>
      <c r="AQ7" s="10">
        <v>600.22410870055</v>
      </c>
      <c r="AR7" s="10">
        <v>650</v>
      </c>
      <c r="AS7" s="10">
        <v>754.71725693474252</v>
      </c>
      <c r="AT7" s="10">
        <v>755.56717256934701</v>
      </c>
      <c r="AU7" s="10">
        <v>759.22567172569302</v>
      </c>
      <c r="AV7" s="10">
        <v>780.77664340000001</v>
      </c>
      <c r="AW7" s="10">
        <v>889.834216943</v>
      </c>
      <c r="AX7" s="13">
        <v>1000</v>
      </c>
      <c r="AY7" s="20">
        <v>1050</v>
      </c>
      <c r="AZ7" s="13">
        <v>1060</v>
      </c>
      <c r="BA7" s="20">
        <v>1100</v>
      </c>
      <c r="BB7" s="20">
        <v>1185</v>
      </c>
      <c r="BC7" s="20">
        <v>1185.5936850000001</v>
      </c>
      <c r="BD7" s="20">
        <v>1126.0762216298001</v>
      </c>
      <c r="BE7" s="20">
        <v>1187.0913699460646</v>
      </c>
      <c r="BF7" s="20">
        <v>1187.85529136994</v>
      </c>
      <c r="BG7" s="20">
        <v>1190.9552913699399</v>
      </c>
      <c r="BH7" s="20">
        <v>1250.9552913699399</v>
      </c>
      <c r="BI7" s="20">
        <v>1390.9552913699399</v>
      </c>
    </row>
    <row r="8" spans="1:61" x14ac:dyDescent="0.25">
      <c r="A8" s="17" t="s">
        <v>23</v>
      </c>
      <c r="B8" s="12">
        <v>124500</v>
      </c>
      <c r="C8" s="10">
        <v>124580</v>
      </c>
      <c r="D8" s="12">
        <v>125000</v>
      </c>
      <c r="E8" s="10">
        <v>125500</v>
      </c>
      <c r="F8" s="10">
        <v>125600</v>
      </c>
      <c r="G8" s="10">
        <v>125625.87359999999</v>
      </c>
      <c r="H8" s="10">
        <v>125639.76782162015</v>
      </c>
      <c r="I8" s="10">
        <v>124768.688268539</v>
      </c>
      <c r="J8" s="10">
        <v>124770.468826853</v>
      </c>
      <c r="K8" s="10">
        <v>126972.236565338</v>
      </c>
      <c r="L8" s="10">
        <v>136972.23656533801</v>
      </c>
      <c r="M8" s="10">
        <v>210972.23656533801</v>
      </c>
      <c r="N8" s="12">
        <v>8200</v>
      </c>
      <c r="O8" s="10">
        <v>8300</v>
      </c>
      <c r="P8" s="12">
        <v>8400.65</v>
      </c>
      <c r="Q8" s="10">
        <v>8475</v>
      </c>
      <c r="R8" s="10">
        <v>8550</v>
      </c>
      <c r="S8" s="10">
        <v>8565.7613000000001</v>
      </c>
      <c r="T8" s="10">
        <v>8562.7071247997792</v>
      </c>
      <c r="U8" s="10">
        <v>8586.860953074307</v>
      </c>
      <c r="V8" s="10">
        <v>8588.1286095307405</v>
      </c>
      <c r="W8" s="10">
        <v>8598.8712860953001</v>
      </c>
      <c r="X8" s="10">
        <v>8660.5618799999993</v>
      </c>
      <c r="Y8" s="10">
        <v>8827.0882282000002</v>
      </c>
      <c r="Z8" s="12">
        <v>800</v>
      </c>
      <c r="AA8" s="10">
        <v>840</v>
      </c>
      <c r="AB8" s="12">
        <v>880</v>
      </c>
      <c r="AC8" s="10">
        <v>900</v>
      </c>
      <c r="AD8" s="10">
        <v>970.5</v>
      </c>
      <c r="AE8" s="10">
        <v>960.69992300000001</v>
      </c>
      <c r="AF8" s="10">
        <v>970.8072824114837</v>
      </c>
      <c r="AG8" s="10">
        <v>991.40351591043816</v>
      </c>
      <c r="AH8" s="10">
        <v>995.64035159104299</v>
      </c>
      <c r="AI8" s="10">
        <v>995.94035159104305</v>
      </c>
      <c r="AJ8" s="10">
        <v>1100.0016800000001</v>
      </c>
      <c r="AK8" s="10">
        <v>1210.1123564</v>
      </c>
      <c r="AL8" s="12">
        <v>450</v>
      </c>
      <c r="AM8" s="10">
        <v>500</v>
      </c>
      <c r="AN8" s="12">
        <v>550</v>
      </c>
      <c r="AO8" s="10">
        <v>557.5</v>
      </c>
      <c r="AP8" s="10">
        <v>600</v>
      </c>
      <c r="AQ8" s="10">
        <v>605.12360000000001</v>
      </c>
      <c r="AR8" s="10">
        <v>610.18997367016004</v>
      </c>
      <c r="AS8" s="10">
        <v>620.51395749772769</v>
      </c>
      <c r="AT8" s="10">
        <v>627.76513957497696</v>
      </c>
      <c r="AU8" s="10">
        <v>630.76513957497696</v>
      </c>
      <c r="AV8" s="10">
        <v>708.01</v>
      </c>
      <c r="AW8" s="10">
        <v>850.21375</v>
      </c>
      <c r="AX8" s="13">
        <v>4650</v>
      </c>
      <c r="AY8" s="20">
        <v>4700</v>
      </c>
      <c r="AZ8" s="13">
        <v>4750</v>
      </c>
      <c r="BA8" s="20">
        <v>4720</v>
      </c>
      <c r="BB8" s="20">
        <v>4800.0226000000002</v>
      </c>
      <c r="BC8" s="20">
        <v>4850.0114046556</v>
      </c>
      <c r="BD8" s="20">
        <v>4900.5423965169502</v>
      </c>
      <c r="BE8" s="20">
        <v>4951.6244231786304</v>
      </c>
      <c r="BF8" s="20">
        <v>4960.9882442317803</v>
      </c>
      <c r="BG8" s="20">
        <v>4966.1785988244201</v>
      </c>
      <c r="BH8" s="20">
        <v>5039.3732</v>
      </c>
      <c r="BI8" s="20">
        <v>5147.0851119999998</v>
      </c>
    </row>
    <row r="9" spans="1:61" x14ac:dyDescent="0.25">
      <c r="A9" s="17" t="s">
        <v>24</v>
      </c>
      <c r="B9" s="12">
        <v>124950</v>
      </c>
      <c r="C9" s="10">
        <v>125000</v>
      </c>
      <c r="D9" s="12">
        <v>125550</v>
      </c>
      <c r="E9" s="10">
        <v>126500</v>
      </c>
      <c r="F9" s="10">
        <v>126550</v>
      </c>
      <c r="G9" s="10">
        <v>126650</v>
      </c>
      <c r="H9" s="10">
        <v>126700.8</v>
      </c>
      <c r="I9" s="10">
        <v>126404.666829778</v>
      </c>
      <c r="J9" s="10">
        <v>126804.66682977779</v>
      </c>
      <c r="K9" s="10">
        <v>126979.236565338</v>
      </c>
      <c r="L9" s="10">
        <v>127079.236565338</v>
      </c>
      <c r="M9" s="10">
        <v>216979.23656533801</v>
      </c>
      <c r="N9" s="12">
        <v>6700</v>
      </c>
      <c r="O9" s="10">
        <v>6750</v>
      </c>
      <c r="P9" s="12">
        <v>6850</v>
      </c>
      <c r="Q9" s="10">
        <v>6965.3846153846198</v>
      </c>
      <c r="R9" s="10">
        <v>6983.8461538461497</v>
      </c>
      <c r="S9" s="10">
        <v>6947.7461538461503</v>
      </c>
      <c r="T9" s="10">
        <v>6990.4746153846099</v>
      </c>
      <c r="U9" s="10">
        <v>7077.8381949374034</v>
      </c>
      <c r="V9" s="10">
        <v>7079.2566838194898</v>
      </c>
      <c r="W9" s="10">
        <v>7109.2566838194898</v>
      </c>
      <c r="X9" s="10">
        <v>7162.9779799600001</v>
      </c>
      <c r="Y9" s="10">
        <v>8224.1860814873999</v>
      </c>
      <c r="Z9" s="12">
        <v>850</v>
      </c>
      <c r="AA9" s="10">
        <v>880</v>
      </c>
      <c r="AB9" s="12">
        <v>920</v>
      </c>
      <c r="AC9" s="10">
        <v>950.15384615384596</v>
      </c>
      <c r="AD9" s="10">
        <v>974.58615384615405</v>
      </c>
      <c r="AE9" s="10">
        <v>960.58615384615405</v>
      </c>
      <c r="AF9" s="10">
        <v>980.98615384615402</v>
      </c>
      <c r="AG9" s="10">
        <v>1022.6964555679424</v>
      </c>
      <c r="AH9" s="10">
        <v>1026.7369645556701</v>
      </c>
      <c r="AI9" s="10">
        <v>1031.82336964555</v>
      </c>
      <c r="AJ9" s="10">
        <v>1062.3505904857</v>
      </c>
      <c r="AK9" s="10">
        <v>1462.4055247919</v>
      </c>
      <c r="AL9" s="12">
        <v>600</v>
      </c>
      <c r="AM9" s="10">
        <v>650</v>
      </c>
      <c r="AN9" s="12">
        <v>680</v>
      </c>
      <c r="AO9" s="10">
        <v>700.76</v>
      </c>
      <c r="AP9" s="10">
        <v>706.1</v>
      </c>
      <c r="AQ9" s="10">
        <v>710.61</v>
      </c>
      <c r="AR9" s="10">
        <v>740.11</v>
      </c>
      <c r="AS9" s="10">
        <v>800.42636768591956</v>
      </c>
      <c r="AT9" s="10">
        <v>800.57742636768501</v>
      </c>
      <c r="AU9" s="10">
        <v>800.88577426367601</v>
      </c>
      <c r="AV9" s="10">
        <v>853.09797146154006</v>
      </c>
      <c r="AW9" s="10">
        <v>876.54799345189997</v>
      </c>
      <c r="AX9" s="13">
        <v>1150</v>
      </c>
      <c r="AY9" s="20">
        <v>1200</v>
      </c>
      <c r="AZ9" s="13">
        <v>1250</v>
      </c>
      <c r="BA9" s="20">
        <v>1375</v>
      </c>
      <c r="BB9" s="20">
        <v>1376.6666666666699</v>
      </c>
      <c r="BC9" s="20">
        <v>1430.56666666666</v>
      </c>
      <c r="BD9" s="20">
        <v>1450.0655666666601</v>
      </c>
      <c r="BE9" s="20">
        <v>1489.9334589334728</v>
      </c>
      <c r="BF9" s="20">
        <v>1499.99433345893</v>
      </c>
      <c r="BG9" s="20">
        <v>1590.11099433345</v>
      </c>
      <c r="BH9" s="20">
        <v>1765.5857599999999</v>
      </c>
      <c r="BI9" s="20">
        <v>1804.5231263999999</v>
      </c>
    </row>
    <row r="10" spans="1:61" x14ac:dyDescent="0.25">
      <c r="A10" s="17" t="s">
        <v>25</v>
      </c>
      <c r="B10" s="12">
        <v>130000</v>
      </c>
      <c r="C10" s="10">
        <v>132000</v>
      </c>
      <c r="D10" s="12">
        <v>133000</v>
      </c>
      <c r="E10" s="10">
        <v>134000</v>
      </c>
      <c r="F10" s="10">
        <v>134000</v>
      </c>
      <c r="G10" s="10">
        <v>133700</v>
      </c>
      <c r="H10" s="10">
        <v>134080.66800000001</v>
      </c>
      <c r="I10" s="10">
        <v>134344.374166191</v>
      </c>
      <c r="J10" s="10">
        <v>134385.64374166101</v>
      </c>
      <c r="K10" s="10">
        <v>135925.64374166101</v>
      </c>
      <c r="L10" s="10">
        <v>136525.64374166101</v>
      </c>
      <c r="M10" s="10">
        <v>203525.64374166101</v>
      </c>
      <c r="N10" s="12">
        <v>6750</v>
      </c>
      <c r="O10" s="10">
        <v>6840</v>
      </c>
      <c r="P10" s="12">
        <v>7000</v>
      </c>
      <c r="Q10" s="10">
        <v>8187.5</v>
      </c>
      <c r="R10" s="10">
        <v>8192.5</v>
      </c>
      <c r="S10" s="10">
        <v>8195.5</v>
      </c>
      <c r="T10" s="10">
        <v>8197.431885</v>
      </c>
      <c r="U10" s="10">
        <v>8201.3076835616648</v>
      </c>
      <c r="V10" s="10">
        <v>8208.3076835616594</v>
      </c>
      <c r="W10" s="10">
        <v>8518.7654330768291</v>
      </c>
      <c r="X10" s="10">
        <v>8866.5038399999994</v>
      </c>
      <c r="Y10" s="10">
        <v>9109.7801839999993</v>
      </c>
      <c r="Z10" s="12">
        <v>850</v>
      </c>
      <c r="AA10" s="10">
        <v>880</v>
      </c>
      <c r="AB10" s="12">
        <v>900</v>
      </c>
      <c r="AC10" s="10">
        <v>950</v>
      </c>
      <c r="AD10" s="10">
        <v>960</v>
      </c>
      <c r="AE10" s="10">
        <v>900</v>
      </c>
      <c r="AF10" s="10">
        <v>920.57791999999995</v>
      </c>
      <c r="AG10" s="10">
        <v>961.86188500726644</v>
      </c>
      <c r="AH10" s="10">
        <v>961.87788500726595</v>
      </c>
      <c r="AI10" s="10">
        <v>1031.82336964555</v>
      </c>
      <c r="AJ10" s="10">
        <v>1166.5038400000001</v>
      </c>
      <c r="AK10" s="10">
        <v>1355.1102608000001</v>
      </c>
      <c r="AL10" s="12">
        <v>530</v>
      </c>
      <c r="AM10" s="10">
        <v>550</v>
      </c>
      <c r="AN10" s="12">
        <v>600</v>
      </c>
      <c r="AO10" s="10">
        <v>630</v>
      </c>
      <c r="AP10" s="10">
        <v>650</v>
      </c>
      <c r="AQ10" s="10">
        <v>650</v>
      </c>
      <c r="AR10" s="10">
        <v>650.3913</v>
      </c>
      <c r="AS10" s="10">
        <v>651.1763363645764</v>
      </c>
      <c r="AT10" s="10">
        <v>654.13476336364499</v>
      </c>
      <c r="AU10" s="10">
        <v>800.88577426367601</v>
      </c>
      <c r="AV10" s="10">
        <v>830.79313999999999</v>
      </c>
      <c r="AW10" s="10">
        <v>905.70884190000004</v>
      </c>
      <c r="AX10" s="13">
        <v>550</v>
      </c>
      <c r="AY10" s="20">
        <v>600</v>
      </c>
      <c r="AZ10" s="13">
        <v>650</v>
      </c>
      <c r="BA10" s="20">
        <v>650</v>
      </c>
      <c r="BB10" s="20">
        <v>676.66666666667004</v>
      </c>
      <c r="BC10" s="20">
        <v>680.50666666666598</v>
      </c>
      <c r="BD10" s="20">
        <v>680.9163316799993</v>
      </c>
      <c r="BE10" s="20">
        <v>681.73821241795315</v>
      </c>
      <c r="BF10" s="20">
        <v>687.07382124179503</v>
      </c>
      <c r="BG10" s="20">
        <v>790.11099433344998</v>
      </c>
      <c r="BH10" s="20">
        <v>803.44640000000004</v>
      </c>
      <c r="BI10" s="20">
        <v>874.550704</v>
      </c>
    </row>
    <row r="11" spans="1:61" x14ac:dyDescent="0.25">
      <c r="A11" s="17" t="s">
        <v>26</v>
      </c>
      <c r="B11" s="12">
        <v>126666.66666666701</v>
      </c>
      <c r="C11" s="10">
        <v>126766.66666666701</v>
      </c>
      <c r="D11" s="12">
        <v>127361.4</v>
      </c>
      <c r="E11" s="10">
        <v>127550.9075</v>
      </c>
      <c r="F11" s="10">
        <v>127610.75509999999</v>
      </c>
      <c r="G11" s="10">
        <v>127682.21712285597</v>
      </c>
      <c r="H11" s="10">
        <v>127720.287881296</v>
      </c>
      <c r="I11" s="10">
        <v>127550.287881296</v>
      </c>
      <c r="J11" s="10">
        <v>127280.782878812</v>
      </c>
      <c r="K11" s="10">
        <v>128990.647828788</v>
      </c>
      <c r="L11" s="10">
        <v>129185.52162</v>
      </c>
      <c r="M11" s="10">
        <v>304236.42721380002</v>
      </c>
      <c r="N11" s="12">
        <v>8340</v>
      </c>
      <c r="O11" s="10">
        <v>8400</v>
      </c>
      <c r="P11" s="12">
        <v>8450</v>
      </c>
      <c r="Q11" s="10">
        <v>8525</v>
      </c>
      <c r="R11" s="10">
        <v>8614.5</v>
      </c>
      <c r="S11" s="10">
        <v>8610.3241199999993</v>
      </c>
      <c r="T11" s="10">
        <v>8621.9616331807192</v>
      </c>
      <c r="U11" s="10">
        <v>8630.2961633180694</v>
      </c>
      <c r="V11" s="10">
        <v>8640.2496163317992</v>
      </c>
      <c r="W11" s="10">
        <v>8660.4524961633106</v>
      </c>
      <c r="X11" s="10">
        <v>8849.8152750000008</v>
      </c>
      <c r="Y11" s="10">
        <v>9003.7739543250009</v>
      </c>
      <c r="Z11" s="12">
        <v>880</v>
      </c>
      <c r="AA11" s="10">
        <v>900</v>
      </c>
      <c r="AB11" s="12">
        <v>930</v>
      </c>
      <c r="AC11" s="10">
        <v>945</v>
      </c>
      <c r="AD11" s="10">
        <v>970.22500000000002</v>
      </c>
      <c r="AE11" s="10">
        <v>940.768326</v>
      </c>
      <c r="AF11" s="10">
        <v>955.06538110775602</v>
      </c>
      <c r="AG11" s="10">
        <v>955.90653811077505</v>
      </c>
      <c r="AH11" s="10">
        <v>960.19065381107703</v>
      </c>
      <c r="AI11" s="10">
        <v>1031.82336964555</v>
      </c>
      <c r="AJ11" s="10">
        <v>1050.8775599999999</v>
      </c>
      <c r="AK11" s="10">
        <v>1389.8466194</v>
      </c>
      <c r="AL11" s="12">
        <v>680</v>
      </c>
      <c r="AM11" s="10">
        <v>700</v>
      </c>
      <c r="AN11" s="12">
        <v>730</v>
      </c>
      <c r="AO11" s="10">
        <v>735</v>
      </c>
      <c r="AP11" s="10">
        <v>763</v>
      </c>
      <c r="AQ11" s="10">
        <v>753.42728</v>
      </c>
      <c r="AR11" s="10">
        <v>763.66088874767979</v>
      </c>
      <c r="AS11" s="10">
        <v>763.96088874767997</v>
      </c>
      <c r="AT11" s="10">
        <v>766.86088874767995</v>
      </c>
      <c r="AU11" s="10">
        <v>800.88577426367601</v>
      </c>
      <c r="AV11" s="10">
        <v>814.79759999999999</v>
      </c>
      <c r="AW11" s="10">
        <v>936.88521200000002</v>
      </c>
      <c r="AX11" s="13">
        <v>3250</v>
      </c>
      <c r="AY11" s="20">
        <v>3400</v>
      </c>
      <c r="AZ11" s="13">
        <v>3550</v>
      </c>
      <c r="BA11" s="20">
        <v>3725</v>
      </c>
      <c r="BB11" s="20">
        <v>4003</v>
      </c>
      <c r="BC11" s="20">
        <v>4000.2416800000001</v>
      </c>
      <c r="BD11" s="20">
        <v>4010.4672839540799</v>
      </c>
      <c r="BE11" s="20">
        <v>4060.7646728395398</v>
      </c>
      <c r="BF11" s="20">
        <v>4100.7646728395403</v>
      </c>
      <c r="BG11" s="20">
        <v>4150.63476467283</v>
      </c>
      <c r="BH11" s="20">
        <v>4175.5248000000001</v>
      </c>
      <c r="BI11" s="20">
        <v>4378.6715999999997</v>
      </c>
    </row>
    <row r="12" spans="1:61" x14ac:dyDescent="0.25">
      <c r="A12" s="17" t="s">
        <v>27</v>
      </c>
      <c r="B12" s="12">
        <v>124000</v>
      </c>
      <c r="C12" s="10">
        <v>124500</v>
      </c>
      <c r="D12" s="12">
        <v>124400</v>
      </c>
      <c r="E12" s="10">
        <v>130120.5</v>
      </c>
      <c r="F12" s="10">
        <v>130262.5</v>
      </c>
      <c r="G12" s="10">
        <v>130280.65</v>
      </c>
      <c r="H12" s="10">
        <v>130283.55</v>
      </c>
      <c r="I12" s="10">
        <v>125889.948056369</v>
      </c>
      <c r="J12" s="10">
        <v>126289.998056369</v>
      </c>
      <c r="K12" s="10">
        <v>131990.647828788</v>
      </c>
      <c r="L12" s="10">
        <v>132185.226192</v>
      </c>
      <c r="M12" s="10">
        <v>300321.27945671999</v>
      </c>
      <c r="N12" s="12">
        <v>8564.2857142857101</v>
      </c>
      <c r="O12" s="10">
        <v>8664.2857142857101</v>
      </c>
      <c r="P12" s="12">
        <v>8723.5078571428603</v>
      </c>
      <c r="Q12" s="10">
        <v>8355.5239999999994</v>
      </c>
      <c r="R12" s="10">
        <v>8423.9659200000006</v>
      </c>
      <c r="S12" s="10">
        <v>8426.4965919999995</v>
      </c>
      <c r="T12" s="10">
        <v>8437.6617836799996</v>
      </c>
      <c r="U12" s="10">
        <v>8462.2947235909178</v>
      </c>
      <c r="V12" s="10">
        <v>8462.9947235909203</v>
      </c>
      <c r="W12" s="10">
        <v>8620.9845249616301</v>
      </c>
      <c r="X12" s="10">
        <v>8786.6829122909003</v>
      </c>
      <c r="Y12" s="10">
        <v>9091.2840603185996</v>
      </c>
      <c r="Z12" s="12">
        <v>970</v>
      </c>
      <c r="AA12" s="10">
        <v>1000</v>
      </c>
      <c r="AB12" s="12">
        <v>1040</v>
      </c>
      <c r="AC12" s="10">
        <v>1060</v>
      </c>
      <c r="AD12" s="10">
        <v>1064.3</v>
      </c>
      <c r="AE12" s="10">
        <v>1068.53</v>
      </c>
      <c r="AF12" s="10">
        <v>1068.5572</v>
      </c>
      <c r="AG12" s="10">
        <v>1068.6172093562905</v>
      </c>
      <c r="AH12" s="10">
        <v>1068.81720935629</v>
      </c>
      <c r="AI12" s="10">
        <v>1081.5582336964501</v>
      </c>
      <c r="AJ12" s="10">
        <v>1088.0878514000001</v>
      </c>
      <c r="AK12" s="10">
        <v>1236.5324475625</v>
      </c>
      <c r="AL12" s="12">
        <v>666.66666666666663</v>
      </c>
      <c r="AM12" s="10">
        <v>680</v>
      </c>
      <c r="AN12" s="12">
        <v>729.66</v>
      </c>
      <c r="AO12" s="10">
        <v>725.2116666666667</v>
      </c>
      <c r="AP12" s="10">
        <v>740</v>
      </c>
      <c r="AQ12" s="10">
        <v>750</v>
      </c>
      <c r="AR12" s="10">
        <v>752.96</v>
      </c>
      <c r="AS12" s="10">
        <v>759.49042994926174</v>
      </c>
      <c r="AT12" s="10">
        <v>759.89042994926206</v>
      </c>
      <c r="AU12" s="10">
        <v>800.04012348857702</v>
      </c>
      <c r="AV12" s="10">
        <v>826.65437999999995</v>
      </c>
      <c r="AW12" s="10">
        <v>907.8447539</v>
      </c>
      <c r="AX12" s="13">
        <v>4300</v>
      </c>
      <c r="AY12" s="20">
        <v>4350</v>
      </c>
      <c r="AZ12" s="13">
        <v>4380</v>
      </c>
      <c r="BA12" s="20">
        <v>4387.0526</v>
      </c>
      <c r="BB12" s="20">
        <v>4485.7268080000003</v>
      </c>
      <c r="BC12" s="20">
        <v>4500.5726807999999</v>
      </c>
      <c r="BD12" s="20">
        <v>4503.6697152320003</v>
      </c>
      <c r="BE12" s="20">
        <v>4510.5024741538346</v>
      </c>
      <c r="BF12" s="20">
        <v>4539.5824741538299</v>
      </c>
      <c r="BG12" s="20">
        <v>4650.63476467283</v>
      </c>
      <c r="BH12" s="20">
        <v>4852.2353999999996</v>
      </c>
      <c r="BI12" s="20">
        <v>4927.9719729999997</v>
      </c>
    </row>
    <row r="13" spans="1:61" x14ac:dyDescent="0.25">
      <c r="A13" s="17" t="s">
        <v>28</v>
      </c>
      <c r="B13" s="12">
        <v>123500</v>
      </c>
      <c r="C13" s="10">
        <v>124200</v>
      </c>
      <c r="D13" s="12">
        <v>124294.25</v>
      </c>
      <c r="E13" s="10">
        <v>124540.25</v>
      </c>
      <c r="F13" s="10">
        <v>124562.5</v>
      </c>
      <c r="G13" s="10">
        <v>124566.5</v>
      </c>
      <c r="H13" s="10">
        <v>124620.06359499999</v>
      </c>
      <c r="I13" s="10">
        <v>124727.52428984392</v>
      </c>
      <c r="J13" s="10">
        <v>124727.924289844</v>
      </c>
      <c r="K13" s="10">
        <v>125990.647828788</v>
      </c>
      <c r="L13" s="10">
        <v>126264.58824</v>
      </c>
      <c r="M13" s="10">
        <v>202451.70530120001</v>
      </c>
      <c r="N13" s="12">
        <v>5780.3333333333303</v>
      </c>
      <c r="O13" s="10">
        <v>5900</v>
      </c>
      <c r="P13" s="12">
        <v>6000</v>
      </c>
      <c r="Q13" s="10">
        <v>6232.7574960000002</v>
      </c>
      <c r="R13" s="10">
        <v>6350.9659199999996</v>
      </c>
      <c r="S13" s="10">
        <v>6355.8896592000001</v>
      </c>
      <c r="T13" s="10">
        <v>6358.6226917534559</v>
      </c>
      <c r="U13" s="10">
        <v>6364.1057736344519</v>
      </c>
      <c r="V13" s="10">
        <v>6364.8057736344499</v>
      </c>
      <c r="W13" s="10">
        <v>6620.9845249616301</v>
      </c>
      <c r="X13" s="10">
        <v>6706.2260871428998</v>
      </c>
      <c r="Y13" s="10">
        <v>7486.7856934642996</v>
      </c>
      <c r="Z13" s="12">
        <v>850</v>
      </c>
      <c r="AA13" s="10">
        <v>870</v>
      </c>
      <c r="AB13" s="12">
        <v>900</v>
      </c>
      <c r="AC13" s="10">
        <v>950.21764212734001</v>
      </c>
      <c r="AD13" s="10">
        <v>964.3</v>
      </c>
      <c r="AE13" s="10">
        <v>964.5</v>
      </c>
      <c r="AF13" s="10">
        <v>964.71464899999989</v>
      </c>
      <c r="AG13" s="10">
        <v>965.14528347641158</v>
      </c>
      <c r="AH13" s="10">
        <v>965.70528347641198</v>
      </c>
      <c r="AI13" s="10">
        <v>1081.5582336964501</v>
      </c>
      <c r="AJ13" s="10">
        <v>1090.5299508969999</v>
      </c>
      <c r="AK13" s="10">
        <v>1160.3701924464999</v>
      </c>
      <c r="AL13" s="12">
        <v>533.33333333333337</v>
      </c>
      <c r="AM13" s="10">
        <v>580</v>
      </c>
      <c r="AN13" s="12">
        <v>648.58666666666659</v>
      </c>
      <c r="AO13" s="10">
        <v>660.38580000000002</v>
      </c>
      <c r="AP13" s="10">
        <v>675.895266666667</v>
      </c>
      <c r="AQ13" s="10">
        <v>670.895266666667</v>
      </c>
      <c r="AR13" s="10">
        <v>676.18590163133365</v>
      </c>
      <c r="AS13" s="10">
        <v>686.80011282214002</v>
      </c>
      <c r="AT13" s="10">
        <v>686.87011282213996</v>
      </c>
      <c r="AU13" s="10">
        <v>800.04012348857702</v>
      </c>
      <c r="AV13" s="10">
        <v>846.56721714289995</v>
      </c>
      <c r="AW13" s="10">
        <v>1044.7806032857</v>
      </c>
      <c r="AX13" s="13">
        <v>1350</v>
      </c>
      <c r="AY13" s="20">
        <v>1380</v>
      </c>
      <c r="AZ13" s="13">
        <v>1400</v>
      </c>
      <c r="BA13" s="20">
        <v>1456</v>
      </c>
      <c r="BB13" s="20">
        <v>1485.7116808000001</v>
      </c>
      <c r="BC13" s="20">
        <v>1486.867116808</v>
      </c>
      <c r="BD13" s="20">
        <v>1487.5064696682273</v>
      </c>
      <c r="BE13" s="20">
        <v>1488.7891562132677</v>
      </c>
      <c r="BF13" s="20">
        <v>1488.8891562132701</v>
      </c>
      <c r="BG13" s="20">
        <v>1650.63476467283</v>
      </c>
      <c r="BH13" s="20">
        <v>1750.63476467283</v>
      </c>
      <c r="BI13" s="20">
        <v>1860.63476467283</v>
      </c>
    </row>
    <row r="14" spans="1:61" x14ac:dyDescent="0.25">
      <c r="A14" s="17" t="s">
        <v>29</v>
      </c>
      <c r="B14" s="12">
        <v>124500</v>
      </c>
      <c r="C14" s="10">
        <v>124550</v>
      </c>
      <c r="D14" s="12">
        <v>124794.25</v>
      </c>
      <c r="E14" s="10">
        <v>125666.66666666701</v>
      </c>
      <c r="F14" s="10">
        <v>125672.5</v>
      </c>
      <c r="G14" s="10">
        <v>125672.5</v>
      </c>
      <c r="H14" s="10">
        <v>125680.53</v>
      </c>
      <c r="I14" s="10">
        <v>121697.414146371</v>
      </c>
      <c r="J14" s="10">
        <v>117698.471414637</v>
      </c>
      <c r="K14" s="10">
        <v>126090.647828788</v>
      </c>
      <c r="L14" s="10">
        <v>126690.647828788</v>
      </c>
      <c r="M14" s="10">
        <v>212090.647828788</v>
      </c>
      <c r="N14" s="12">
        <v>6475</v>
      </c>
      <c r="O14" s="10">
        <v>6540</v>
      </c>
      <c r="P14" s="12">
        <v>6562.5</v>
      </c>
      <c r="Q14" s="10">
        <v>6570.8333333333003</v>
      </c>
      <c r="R14" s="10">
        <v>6583.8333333333003</v>
      </c>
      <c r="S14" s="10">
        <v>6584.7833333333301</v>
      </c>
      <c r="T14" s="10">
        <v>6585.4833333333299</v>
      </c>
      <c r="U14" s="10">
        <v>6586.95517672803</v>
      </c>
      <c r="V14" s="10">
        <v>6588.5551767280303</v>
      </c>
      <c r="W14" s="10">
        <v>6720.9845249616301</v>
      </c>
      <c r="X14" s="10">
        <v>6807.0820100000001</v>
      </c>
      <c r="Y14" s="10">
        <v>7082.5329985500002</v>
      </c>
      <c r="Z14" s="12">
        <v>970</v>
      </c>
      <c r="AA14" s="10">
        <v>1000</v>
      </c>
      <c r="AB14" s="12">
        <v>1050</v>
      </c>
      <c r="AC14" s="10">
        <v>1080</v>
      </c>
      <c r="AD14" s="10">
        <v>1090.20333333333</v>
      </c>
      <c r="AE14" s="10">
        <v>1095.3203333333299</v>
      </c>
      <c r="AF14" s="10">
        <v>1097.20333333333</v>
      </c>
      <c r="AG14" s="10">
        <v>1101.1625920650731</v>
      </c>
      <c r="AH14" s="10">
        <v>1101.4625920650701</v>
      </c>
      <c r="AI14" s="10">
        <v>1181.5582336964501</v>
      </c>
      <c r="AJ14" s="10">
        <v>1234.69893125</v>
      </c>
      <c r="AK14" s="10">
        <v>1359.4657072811999</v>
      </c>
      <c r="AL14" s="12">
        <v>483.33333333333297</v>
      </c>
      <c r="AM14" s="10">
        <v>490</v>
      </c>
      <c r="AN14" s="12">
        <v>534.79222222222199</v>
      </c>
      <c r="AO14" s="10">
        <v>550</v>
      </c>
      <c r="AP14" s="10">
        <v>575.19526666666695</v>
      </c>
      <c r="AQ14" s="10">
        <v>575.395266666667</v>
      </c>
      <c r="AR14" s="10">
        <v>577.19526666666695</v>
      </c>
      <c r="AS14" s="10">
        <v>580.98000682446684</v>
      </c>
      <c r="AT14" s="10">
        <v>582.25980006824398</v>
      </c>
      <c r="AU14" s="10">
        <v>612.99040123488498</v>
      </c>
      <c r="AV14" s="10">
        <v>631.76077250000003</v>
      </c>
      <c r="AW14" s="10">
        <v>783.54041583749995</v>
      </c>
      <c r="AX14" s="13">
        <v>3280</v>
      </c>
      <c r="AY14" s="20">
        <v>3290.9166666666702</v>
      </c>
      <c r="AZ14" s="13">
        <v>3500</v>
      </c>
      <c r="BA14" s="20">
        <v>3600</v>
      </c>
      <c r="BB14" s="20">
        <v>3685.7868079999998</v>
      </c>
      <c r="BC14" s="20">
        <v>3689.3786808</v>
      </c>
      <c r="BD14" s="20">
        <v>3689.8557868080002</v>
      </c>
      <c r="BE14" s="20">
        <v>3690.8589658457813</v>
      </c>
      <c r="BF14" s="20">
        <v>3698.9589658457799</v>
      </c>
      <c r="BG14" s="20">
        <v>3706.63476467283</v>
      </c>
      <c r="BH14" s="20">
        <v>3906.63476467283</v>
      </c>
      <c r="BI14" s="20">
        <v>4306.63476467283</v>
      </c>
    </row>
    <row r="15" spans="1:61" x14ac:dyDescent="0.25">
      <c r="A15" s="17" t="s">
        <v>30</v>
      </c>
      <c r="B15" s="12">
        <v>123110</v>
      </c>
      <c r="C15" s="10">
        <v>123500</v>
      </c>
      <c r="D15" s="12">
        <v>125000</v>
      </c>
      <c r="E15" s="10">
        <v>125500</v>
      </c>
      <c r="F15" s="10">
        <v>125600.5</v>
      </c>
      <c r="G15" s="10">
        <v>125600.85</v>
      </c>
      <c r="H15" s="10">
        <v>125600.5667</v>
      </c>
      <c r="I15" s="10">
        <v>125601.21484320231</v>
      </c>
      <c r="J15" s="10">
        <v>125650.214843202</v>
      </c>
      <c r="K15" s="10">
        <v>126190.651647828</v>
      </c>
      <c r="L15" s="10">
        <v>126690.651647828</v>
      </c>
      <c r="M15" s="10">
        <v>206190.651647828</v>
      </c>
      <c r="N15" s="12">
        <v>7600</v>
      </c>
      <c r="O15" s="10">
        <v>7866.6666666666997</v>
      </c>
      <c r="P15" s="12">
        <v>7990.3433333332996</v>
      </c>
      <c r="Q15" s="10">
        <v>8780.1875</v>
      </c>
      <c r="R15" s="10">
        <v>8783.8333333332994</v>
      </c>
      <c r="S15" s="10">
        <v>8786.5833333333303</v>
      </c>
      <c r="T15" s="10">
        <v>8783.77833333333</v>
      </c>
      <c r="U15" s="10">
        <v>8793.4456369242798</v>
      </c>
      <c r="V15" s="10">
        <v>8795.4456369242798</v>
      </c>
      <c r="W15" s="10">
        <v>8899.4398452496098</v>
      </c>
      <c r="X15" s="10">
        <v>9099.7803010000007</v>
      </c>
      <c r="Y15" s="10">
        <v>9219.4243123233991</v>
      </c>
      <c r="Z15" s="12">
        <v>950</v>
      </c>
      <c r="AA15" s="10">
        <v>980</v>
      </c>
      <c r="AB15" s="12">
        <v>1000</v>
      </c>
      <c r="AC15" s="10">
        <v>1058.94</v>
      </c>
      <c r="AD15" s="10">
        <v>1090.20333333333</v>
      </c>
      <c r="AE15" s="10">
        <v>1090.2633333333299</v>
      </c>
      <c r="AF15" s="10">
        <v>1090.3520333333299</v>
      </c>
      <c r="AG15" s="10">
        <v>1090.5406391777569</v>
      </c>
      <c r="AH15" s="10">
        <v>1090.8406391777601</v>
      </c>
      <c r="AI15" s="10">
        <v>1110.97582336964</v>
      </c>
      <c r="AJ15" s="10">
        <v>1177.3797610828601</v>
      </c>
      <c r="AK15" s="10">
        <v>1183.5646701426001</v>
      </c>
      <c r="AL15" s="12">
        <v>430</v>
      </c>
      <c r="AM15" s="10">
        <v>450</v>
      </c>
      <c r="AN15" s="12">
        <v>460</v>
      </c>
      <c r="AO15" s="10">
        <v>488.75</v>
      </c>
      <c r="AP15" s="10">
        <v>495.19526666666701</v>
      </c>
      <c r="AQ15" s="10">
        <v>495.501952666666</v>
      </c>
      <c r="AR15" s="10">
        <v>495.895266666667</v>
      </c>
      <c r="AS15" s="10">
        <v>499.85791789014104</v>
      </c>
      <c r="AT15" s="10">
        <v>500.85791789014098</v>
      </c>
      <c r="AU15" s="10">
        <v>602.299040123488</v>
      </c>
      <c r="AV15" s="10">
        <v>684.33216967143005</v>
      </c>
      <c r="AW15" s="10">
        <v>796.07201763089995</v>
      </c>
      <c r="AX15" s="13">
        <v>1000</v>
      </c>
      <c r="AY15" s="20">
        <v>1050</v>
      </c>
      <c r="AZ15" s="13">
        <v>1150</v>
      </c>
      <c r="BA15" s="20">
        <v>1180</v>
      </c>
      <c r="BB15" s="20">
        <v>1185.616808</v>
      </c>
      <c r="BC15" s="20">
        <v>1185.8861680800001</v>
      </c>
      <c r="BD15" s="20">
        <v>1188.616808</v>
      </c>
      <c r="BE15" s="20">
        <v>1194.4230610770876</v>
      </c>
      <c r="BF15" s="20">
        <v>1199.08742306107</v>
      </c>
      <c r="BG15" s="20">
        <v>1296.1634764672799</v>
      </c>
      <c r="BH15" s="20">
        <v>1306.1634764672799</v>
      </c>
      <c r="BI15" s="20">
        <v>1396.1634764672799</v>
      </c>
    </row>
    <row r="16" spans="1:61" x14ac:dyDescent="0.25">
      <c r="A16" s="17" t="s">
        <v>31</v>
      </c>
      <c r="B16" s="12">
        <v>127850</v>
      </c>
      <c r="C16" s="10">
        <v>120000</v>
      </c>
      <c r="D16" s="12">
        <v>125932</v>
      </c>
      <c r="E16" s="10">
        <v>126000</v>
      </c>
      <c r="F16" s="10">
        <v>126100.5</v>
      </c>
      <c r="G16" s="10">
        <v>126400.85</v>
      </c>
      <c r="H16" s="10">
        <v>126450.95</v>
      </c>
      <c r="I16" s="10">
        <v>120557.479343921</v>
      </c>
      <c r="J16" s="10">
        <v>121577.47235793401</v>
      </c>
      <c r="K16" s="10">
        <v>127977.47235793401</v>
      </c>
      <c r="L16" s="10">
        <v>131188.42240000001</v>
      </c>
      <c r="M16" s="10">
        <v>305126.69148799998</v>
      </c>
      <c r="N16" s="12">
        <v>7218.7</v>
      </c>
      <c r="O16" s="10">
        <v>7266.6666666666697</v>
      </c>
      <c r="P16" s="12">
        <v>7400.2333333333299</v>
      </c>
      <c r="Q16" s="10">
        <v>7913.0304166666656</v>
      </c>
      <c r="R16" s="10">
        <v>7954.4061833333299</v>
      </c>
      <c r="S16" s="10">
        <v>7956.4606183333299</v>
      </c>
      <c r="T16" s="10">
        <v>7958.4061833333299</v>
      </c>
      <c r="U16" s="10">
        <v>7962.5431047506081</v>
      </c>
      <c r="V16" s="10">
        <v>7966.2343104750598</v>
      </c>
      <c r="W16" s="10">
        <v>8066.8423431047504</v>
      </c>
      <c r="X16" s="10">
        <v>8166.2037840000003</v>
      </c>
      <c r="Y16" s="10">
        <v>8563.2912638800008</v>
      </c>
      <c r="Z16" s="12">
        <v>1150</v>
      </c>
      <c r="AA16" s="10">
        <v>1160</v>
      </c>
      <c r="AB16" s="12">
        <v>1180</v>
      </c>
      <c r="AC16" s="10">
        <v>1242.3483453333333</v>
      </c>
      <c r="AD16" s="10">
        <v>1277.88304781333</v>
      </c>
      <c r="AE16" s="10">
        <v>1279.48830478133</v>
      </c>
      <c r="AF16" s="10">
        <v>1279.88304781333</v>
      </c>
      <c r="AG16" s="10">
        <v>1280.7224034264307</v>
      </c>
      <c r="AH16" s="10">
        <v>1280.92272240342</v>
      </c>
      <c r="AI16" s="10">
        <v>1296.2219227224</v>
      </c>
      <c r="AJ16" s="10">
        <v>1298.75841625</v>
      </c>
      <c r="AK16" s="10">
        <v>1307.9023749687999</v>
      </c>
      <c r="AL16" s="12">
        <v>500.66666666666998</v>
      </c>
      <c r="AM16" s="10">
        <v>550</v>
      </c>
      <c r="AN16" s="12">
        <v>600</v>
      </c>
      <c r="AO16" s="10">
        <v>630</v>
      </c>
      <c r="AP16" s="10">
        <v>672.55738666667003</v>
      </c>
      <c r="AQ16" s="10">
        <v>674.25573866666696</v>
      </c>
      <c r="AR16" s="10">
        <v>675.55738666667003</v>
      </c>
      <c r="AS16" s="10">
        <v>678.32512533845465</v>
      </c>
      <c r="AT16" s="10">
        <v>688.53251253384497</v>
      </c>
      <c r="AU16" s="10">
        <v>708.54532512533797</v>
      </c>
      <c r="AV16" s="10">
        <v>726.83920000000001</v>
      </c>
      <c r="AW16" s="10">
        <v>757.17208800000003</v>
      </c>
      <c r="AX16" s="13">
        <v>1250</v>
      </c>
      <c r="AY16" s="20">
        <v>1260</v>
      </c>
      <c r="AZ16" s="13">
        <v>1300</v>
      </c>
      <c r="BA16" s="20">
        <v>1350</v>
      </c>
      <c r="BB16" s="20">
        <v>1385.7368080000001</v>
      </c>
      <c r="BC16" s="20">
        <v>1387.6736808000001</v>
      </c>
      <c r="BD16" s="20">
        <v>1387.7736808</v>
      </c>
      <c r="BE16" s="20">
        <v>1387.9863142209997</v>
      </c>
      <c r="BF16" s="20">
        <v>1389.3998631422101</v>
      </c>
      <c r="BG16" s="20">
        <v>1403.22399863142</v>
      </c>
      <c r="BH16" s="20">
        <v>1462.9849999999999</v>
      </c>
      <c r="BI16" s="20">
        <v>1546.9745250000001</v>
      </c>
    </row>
    <row r="17" spans="1:61" x14ac:dyDescent="0.25">
      <c r="A17" s="17" t="s">
        <v>32</v>
      </c>
      <c r="B17" s="12">
        <v>127000</v>
      </c>
      <c r="C17" s="10">
        <v>128000</v>
      </c>
      <c r="D17" s="12">
        <v>128500.5</v>
      </c>
      <c r="E17" s="10">
        <v>128800</v>
      </c>
      <c r="F17" s="10">
        <v>129000</v>
      </c>
      <c r="G17" s="10">
        <v>129041.9</v>
      </c>
      <c r="H17" s="10">
        <v>129259.29000000001</v>
      </c>
      <c r="I17" s="10">
        <v>123494.701851912</v>
      </c>
      <c r="J17" s="10">
        <v>123650.033701851</v>
      </c>
      <c r="K17" s="10">
        <v>130077.47235793401</v>
      </c>
      <c r="L17" s="10">
        <v>134064.58824000001</v>
      </c>
      <c r="M17" s="10">
        <v>252491.94000239999</v>
      </c>
      <c r="N17" s="12">
        <v>8560</v>
      </c>
      <c r="O17" s="10">
        <v>8750</v>
      </c>
      <c r="P17" s="12">
        <v>8800</v>
      </c>
      <c r="Q17" s="10">
        <v>8850</v>
      </c>
      <c r="R17" s="10">
        <v>8885</v>
      </c>
      <c r="S17" s="10">
        <v>8894.7735000000011</v>
      </c>
      <c r="T17" s="10">
        <v>8902.8588500000005</v>
      </c>
      <c r="U17" s="10">
        <v>8919.3233248048236</v>
      </c>
      <c r="V17" s="10">
        <v>8921.4932332480403</v>
      </c>
      <c r="W17" s="10">
        <v>9066.8423431047504</v>
      </c>
      <c r="X17" s="10">
        <v>9184.6674650000004</v>
      </c>
      <c r="Y17" s="10">
        <v>9459.3742855250002</v>
      </c>
      <c r="Z17" s="12">
        <v>1060</v>
      </c>
      <c r="AA17" s="10">
        <v>1150</v>
      </c>
      <c r="AB17" s="12">
        <v>1170</v>
      </c>
      <c r="AC17" s="10">
        <v>1180</v>
      </c>
      <c r="AD17" s="10">
        <v>1199</v>
      </c>
      <c r="AE17" s="10">
        <v>1160.3189</v>
      </c>
      <c r="AF17" s="10">
        <v>1170.4099900000001</v>
      </c>
      <c r="AG17" s="10">
        <v>1193.9588217831899</v>
      </c>
      <c r="AH17" s="10">
        <v>1196.1958821783101</v>
      </c>
      <c r="AI17" s="10">
        <v>1129.9854321922701</v>
      </c>
      <c r="AJ17" s="10">
        <v>1187.3352348231999</v>
      </c>
      <c r="AK17" s="10">
        <v>1261.3553875524999</v>
      </c>
      <c r="AL17" s="12">
        <v>600</v>
      </c>
      <c r="AM17" s="10">
        <v>650</v>
      </c>
      <c r="AN17" s="12">
        <v>660.04571428571398</v>
      </c>
      <c r="AO17" s="10">
        <v>688.89800000000002</v>
      </c>
      <c r="AP17" s="10">
        <v>694.40984000000003</v>
      </c>
      <c r="AQ17" s="10">
        <v>695.17369082400012</v>
      </c>
      <c r="AR17" s="10">
        <v>690.80560377840004</v>
      </c>
      <c r="AS17" s="10">
        <v>700.12872395518673</v>
      </c>
      <c r="AT17" s="10">
        <v>700.93452872395505</v>
      </c>
      <c r="AU17" s="10">
        <v>878.75453251253305</v>
      </c>
      <c r="AV17" s="10">
        <v>882.05457739999997</v>
      </c>
      <c r="AW17" s="10">
        <v>937.60896342499996</v>
      </c>
      <c r="AX17" s="13">
        <v>700</v>
      </c>
      <c r="AY17" s="20">
        <v>750</v>
      </c>
      <c r="AZ17" s="13">
        <v>800</v>
      </c>
      <c r="BA17" s="20">
        <v>800</v>
      </c>
      <c r="BB17" s="20">
        <v>855.50680799999998</v>
      </c>
      <c r="BC17" s="20">
        <v>856.44786548880006</v>
      </c>
      <c r="BD17" s="20">
        <v>857.22637668408004</v>
      </c>
      <c r="BE17" s="20">
        <v>858.8116856638967</v>
      </c>
      <c r="BF17" s="20">
        <v>866.72081168566297</v>
      </c>
      <c r="BG17" s="20">
        <v>1000.38223998631</v>
      </c>
      <c r="BH17" s="20">
        <v>1014.0208</v>
      </c>
      <c r="BI17" s="20">
        <v>1160.9443679999999</v>
      </c>
    </row>
    <row r="18" spans="1:61" x14ac:dyDescent="0.25">
      <c r="A18" s="17" t="s">
        <v>33</v>
      </c>
      <c r="B18" s="12">
        <v>128700</v>
      </c>
      <c r="C18" s="10">
        <v>128800</v>
      </c>
      <c r="D18" s="12">
        <v>129454.25</v>
      </c>
      <c r="E18" s="10">
        <v>132450.25</v>
      </c>
      <c r="F18" s="10">
        <v>132500.5</v>
      </c>
      <c r="G18" s="10">
        <v>132560.54</v>
      </c>
      <c r="H18" s="10">
        <v>132600.25</v>
      </c>
      <c r="I18" s="10">
        <v>132782.228898584</v>
      </c>
      <c r="J18" s="10">
        <v>132785.42889858401</v>
      </c>
      <c r="K18" s="10">
        <v>133977.47235793399</v>
      </c>
      <c r="L18" s="10">
        <v>135185.52162000001</v>
      </c>
      <c r="M18" s="10">
        <v>257580.11137560001</v>
      </c>
      <c r="N18" s="12">
        <v>9432.5676540000004</v>
      </c>
      <c r="O18" s="10">
        <v>9440</v>
      </c>
      <c r="P18" s="12">
        <v>9580.5</v>
      </c>
      <c r="Q18" s="10">
        <v>9650.0642857142902</v>
      </c>
      <c r="R18" s="10">
        <v>9702.46371428571</v>
      </c>
      <c r="S18" s="10">
        <v>9705.46371428571</v>
      </c>
      <c r="T18" s="10">
        <v>9710.46371428571</v>
      </c>
      <c r="U18" s="10">
        <v>9720.5953853357096</v>
      </c>
      <c r="V18" s="10">
        <v>9722.6259538533504</v>
      </c>
      <c r="W18" s="10">
        <v>9866.8423431047504</v>
      </c>
      <c r="X18" s="10">
        <v>9875.1487342856999</v>
      </c>
      <c r="Y18" s="10">
        <v>9961.5618938286007</v>
      </c>
      <c r="Z18" s="12">
        <v>1150</v>
      </c>
      <c r="AA18" s="10">
        <v>1170</v>
      </c>
      <c r="AB18" s="12">
        <v>1180</v>
      </c>
      <c r="AC18" s="10">
        <v>1175.9514285714199</v>
      </c>
      <c r="AD18" s="10">
        <v>1182.1075428571401</v>
      </c>
      <c r="AE18" s="10">
        <v>1162.6075428571401</v>
      </c>
      <c r="AF18" s="10">
        <v>1160.1075428571401</v>
      </c>
      <c r="AG18" s="10">
        <v>1164.1207099621402</v>
      </c>
      <c r="AH18" s="10">
        <v>1164.2207099621401</v>
      </c>
      <c r="AI18" s="10">
        <v>1019.25432192272</v>
      </c>
      <c r="AJ18" s="10">
        <v>1027.4401874286</v>
      </c>
      <c r="AK18" s="10">
        <v>1216.2837294971</v>
      </c>
      <c r="AL18" s="12">
        <v>750</v>
      </c>
      <c r="AM18" s="10">
        <v>765</v>
      </c>
      <c r="AN18" s="12">
        <v>800</v>
      </c>
      <c r="AO18" s="10">
        <v>850</v>
      </c>
      <c r="AP18" s="10">
        <v>870.24266285713998</v>
      </c>
      <c r="AQ18" s="10">
        <v>870.26266285713996</v>
      </c>
      <c r="AR18" s="10">
        <v>850.99426628571405</v>
      </c>
      <c r="AS18" s="10">
        <v>948.135094591187</v>
      </c>
      <c r="AT18" s="10">
        <v>949.53509459118698</v>
      </c>
      <c r="AU18" s="10">
        <v>978.75453251253305</v>
      </c>
      <c r="AV18" s="10">
        <v>998.79462857140004</v>
      </c>
      <c r="AW18" s="10">
        <v>1156.8015582856999</v>
      </c>
      <c r="AX18" s="13">
        <v>1200</v>
      </c>
      <c r="AY18" s="20">
        <v>1250</v>
      </c>
      <c r="AZ18" s="13">
        <v>1300</v>
      </c>
      <c r="BA18" s="20">
        <v>1330</v>
      </c>
      <c r="BB18" s="20">
        <v>1385.5168080000001</v>
      </c>
      <c r="BC18" s="20">
        <v>1380.5716808</v>
      </c>
      <c r="BD18" s="20">
        <v>1388.5168080000001</v>
      </c>
      <c r="BE18" s="20">
        <v>1404.6162910481619</v>
      </c>
      <c r="BF18" s="20">
        <v>1457.8816291048099</v>
      </c>
      <c r="BG18" s="20">
        <v>1500.38223998631</v>
      </c>
      <c r="BH18" s="20">
        <v>1600.38223998631</v>
      </c>
      <c r="BI18" s="20">
        <v>1650.38223998631</v>
      </c>
    </row>
    <row r="19" spans="1:61" x14ac:dyDescent="0.25">
      <c r="A19" s="17" t="s">
        <v>34</v>
      </c>
      <c r="B19" s="12">
        <v>128500</v>
      </c>
      <c r="C19" s="10">
        <v>129500</v>
      </c>
      <c r="D19" s="12">
        <v>129594.25</v>
      </c>
      <c r="E19" s="10">
        <v>129890.25</v>
      </c>
      <c r="F19" s="10">
        <v>129950</v>
      </c>
      <c r="G19" s="10">
        <v>130000.84849999999</v>
      </c>
      <c r="H19" s="10">
        <v>130086.44749999999</v>
      </c>
      <c r="I19" s="10">
        <v>130261.98611662</v>
      </c>
      <c r="J19" s="10">
        <v>130280.61986116599</v>
      </c>
      <c r="K19" s="10">
        <v>131277.47235793399</v>
      </c>
      <c r="L19" s="10">
        <v>133277.47235793399</v>
      </c>
      <c r="M19" s="10">
        <v>191277.47235793399</v>
      </c>
      <c r="N19" s="12">
        <v>6650</v>
      </c>
      <c r="O19" s="10">
        <v>6730</v>
      </c>
      <c r="P19" s="12">
        <v>6752.1530000000002</v>
      </c>
      <c r="Q19" s="10">
        <v>7534.9917000000014</v>
      </c>
      <c r="R19" s="10">
        <v>7689.5910359999998</v>
      </c>
      <c r="S19" s="10">
        <v>7690.51131476708</v>
      </c>
      <c r="T19" s="10">
        <v>7697.6651065877995</v>
      </c>
      <c r="U19" s="10">
        <v>7712.304155521756</v>
      </c>
      <c r="V19" s="10">
        <v>7718.5530415552103</v>
      </c>
      <c r="W19" s="10">
        <v>7866.22842343104</v>
      </c>
      <c r="X19" s="10">
        <v>7883.5120889</v>
      </c>
      <c r="Y19" s="10">
        <v>8407.7490850265003</v>
      </c>
      <c r="Z19" s="12">
        <v>1080</v>
      </c>
      <c r="AA19" s="10">
        <v>1088</v>
      </c>
      <c r="AB19" s="12">
        <v>1100</v>
      </c>
      <c r="AC19" s="10">
        <v>1155.7619999999999</v>
      </c>
      <c r="AD19" s="10">
        <v>1232.2229600000001</v>
      </c>
      <c r="AE19" s="10">
        <v>1133.4921496488</v>
      </c>
      <c r="AF19" s="10">
        <v>1137.5167941080001</v>
      </c>
      <c r="AG19" s="10">
        <v>1145.98525617479</v>
      </c>
      <c r="AH19" s="10">
        <v>1147.4198525617401</v>
      </c>
      <c r="AI19" s="10">
        <v>1100.0811985432099</v>
      </c>
      <c r="AJ19" s="10">
        <v>1170.4917754544999</v>
      </c>
      <c r="AK19" s="10">
        <v>1321.1199436909001</v>
      </c>
      <c r="AL19" s="12">
        <v>520</v>
      </c>
      <c r="AM19" s="10">
        <v>550</v>
      </c>
      <c r="AN19" s="12">
        <v>580.245</v>
      </c>
      <c r="AO19" s="10">
        <v>590.18169999999998</v>
      </c>
      <c r="AP19" s="10">
        <v>598.07623599999999</v>
      </c>
      <c r="AQ19" s="10">
        <v>600.69225452308001</v>
      </c>
      <c r="AR19" s="10">
        <v>618.70421604779995</v>
      </c>
      <c r="AS19" s="10">
        <v>655.56270910503815</v>
      </c>
      <c r="AT19" s="10">
        <v>655.83562709105001</v>
      </c>
      <c r="AU19" s="10">
        <v>778.75453251253305</v>
      </c>
      <c r="AV19" s="10">
        <v>806.02651900000001</v>
      </c>
      <c r="AW19" s="10">
        <v>873.21207542499997</v>
      </c>
      <c r="AX19" s="13">
        <v>1130</v>
      </c>
      <c r="AY19" s="20">
        <v>1140</v>
      </c>
      <c r="AZ19" s="13">
        <v>1200</v>
      </c>
      <c r="BA19" s="20">
        <v>1250</v>
      </c>
      <c r="BB19" s="20">
        <v>1275.4668079999999</v>
      </c>
      <c r="BC19" s="20">
        <v>1276.7805388122399</v>
      </c>
      <c r="BD19" s="20">
        <v>1286.8060481483999</v>
      </c>
      <c r="BE19" s="20">
        <v>1307.3215908756586</v>
      </c>
      <c r="BF19" s="20">
        <v>1337.13215908756</v>
      </c>
      <c r="BG19" s="20">
        <v>1400.38223998631</v>
      </c>
      <c r="BH19" s="20">
        <v>1420.38223998631</v>
      </c>
      <c r="BI19" s="20">
        <v>1500.38223998631</v>
      </c>
    </row>
    <row r="20" spans="1:61" x14ac:dyDescent="0.25">
      <c r="A20" s="17" t="s">
        <v>35</v>
      </c>
      <c r="B20" s="12">
        <v>127550</v>
      </c>
      <c r="C20" s="10">
        <v>128000</v>
      </c>
      <c r="D20" s="12">
        <v>128698</v>
      </c>
      <c r="E20" s="10">
        <v>128750.6</v>
      </c>
      <c r="F20" s="10">
        <v>128856.368</v>
      </c>
      <c r="G20" s="10">
        <v>128882.39698633601</v>
      </c>
      <c r="H20" s="10">
        <v>129117.94642704001</v>
      </c>
      <c r="I20" s="10">
        <v>128599.959305699</v>
      </c>
      <c r="J20" s="10">
        <v>128609.959305699</v>
      </c>
      <c r="K20" s="10">
        <v>128613.47235793401</v>
      </c>
      <c r="L20" s="10">
        <v>129613.47235793401</v>
      </c>
      <c r="M20" s="10">
        <v>258613.47235793399</v>
      </c>
      <c r="N20" s="12">
        <v>7459.375</v>
      </c>
      <c r="O20" s="10">
        <v>7494.375</v>
      </c>
      <c r="P20" s="12">
        <v>7679.1694374999997</v>
      </c>
      <c r="Q20" s="10">
        <v>7547.5239999999994</v>
      </c>
      <c r="R20" s="10">
        <v>7570.3259200000002</v>
      </c>
      <c r="S20" s="10">
        <v>7650.8551258358402</v>
      </c>
      <c r="T20" s="10">
        <v>7750.6936816176003</v>
      </c>
      <c r="U20" s="10">
        <v>7854.9967337908101</v>
      </c>
      <c r="V20" s="10">
        <v>7856.0899673378999</v>
      </c>
      <c r="W20" s="10">
        <v>8000.16612284234</v>
      </c>
      <c r="X20" s="10">
        <v>8250.8775600000008</v>
      </c>
      <c r="Y20" s="10">
        <v>8766.5803309999992</v>
      </c>
      <c r="Z20" s="12">
        <v>960</v>
      </c>
      <c r="AA20" s="10">
        <v>1000</v>
      </c>
      <c r="AB20" s="12">
        <v>1050</v>
      </c>
      <c r="AC20" s="10">
        <v>1131.059</v>
      </c>
      <c r="AD20" s="10">
        <v>1231.5437199999999</v>
      </c>
      <c r="AE20" s="10">
        <v>1140.79249183144</v>
      </c>
      <c r="AF20" s="10">
        <v>1164.0437537516</v>
      </c>
      <c r="AG20" s="10">
        <v>1211.6236064444936</v>
      </c>
      <c r="AH20" s="10">
        <v>1218.2623606444399</v>
      </c>
      <c r="AI20" s="10">
        <v>1200.67119854321</v>
      </c>
      <c r="AJ20" s="10">
        <v>1250.8775599999999</v>
      </c>
      <c r="AK20" s="10">
        <v>1368.4240682</v>
      </c>
      <c r="AL20" s="12">
        <v>650</v>
      </c>
      <c r="AM20" s="10">
        <v>650</v>
      </c>
      <c r="AN20" s="12">
        <v>700</v>
      </c>
      <c r="AO20" s="10">
        <v>753.54560000000004</v>
      </c>
      <c r="AP20" s="10">
        <v>801.02924800000005</v>
      </c>
      <c r="AQ20" s="10">
        <v>800.19105590809602</v>
      </c>
      <c r="AR20" s="10">
        <v>780.65533737344003</v>
      </c>
      <c r="AS20" s="10">
        <v>825.97608609904239</v>
      </c>
      <c r="AT20" s="10">
        <v>835.92760860990404</v>
      </c>
      <c r="AU20" s="10">
        <v>878.55754532512503</v>
      </c>
      <c r="AV20" s="10">
        <v>884.79759999999999</v>
      </c>
      <c r="AW20" s="10">
        <v>1011.285212</v>
      </c>
      <c r="AX20" s="13">
        <v>950</v>
      </c>
      <c r="AY20" s="20">
        <v>980</v>
      </c>
      <c r="AZ20" s="13">
        <v>1000</v>
      </c>
      <c r="BA20" s="20">
        <v>1040</v>
      </c>
      <c r="BB20" s="20">
        <v>1075.710808</v>
      </c>
      <c r="BC20" s="20">
        <v>1075.9281015832162</v>
      </c>
      <c r="BD20" s="20">
        <v>1077.8945009402401</v>
      </c>
      <c r="BE20" s="20">
        <v>1081.9184112150399</v>
      </c>
      <c r="BF20" s="20">
        <v>1089.86791841121</v>
      </c>
      <c r="BG20" s="20">
        <v>1100.5138223998599</v>
      </c>
      <c r="BH20" s="20">
        <v>1150</v>
      </c>
      <c r="BI20" s="20">
        <v>1240</v>
      </c>
    </row>
    <row r="21" spans="1:61" x14ac:dyDescent="0.25">
      <c r="A21" s="17" t="s">
        <v>36</v>
      </c>
      <c r="B21" s="12">
        <v>125500</v>
      </c>
      <c r="C21" s="10">
        <v>95000</v>
      </c>
      <c r="D21" s="12">
        <v>125529.5</v>
      </c>
      <c r="E21" s="10">
        <v>115454.425</v>
      </c>
      <c r="F21" s="10">
        <v>115615.77899999999</v>
      </c>
      <c r="G21" s="10">
        <v>125667.803041016</v>
      </c>
      <c r="H21" s="10">
        <v>125742.9563569</v>
      </c>
      <c r="I21" s="10">
        <v>125896.74515818838</v>
      </c>
      <c r="J21" s="10">
        <v>125898.12745158099</v>
      </c>
      <c r="K21" s="10">
        <v>127012.144723579</v>
      </c>
      <c r="L21" s="10">
        <v>128064.58824</v>
      </c>
      <c r="M21" s="10">
        <v>290393.83000680013</v>
      </c>
      <c r="N21" s="12">
        <v>7641.1111111111104</v>
      </c>
      <c r="O21" s="10">
        <v>7477.7777777777801</v>
      </c>
      <c r="P21" s="12">
        <v>7558.84666666667</v>
      </c>
      <c r="Q21" s="10">
        <v>7971.8802307692304</v>
      </c>
      <c r="R21" s="10">
        <v>7990.3259200000002</v>
      </c>
      <c r="S21" s="10">
        <v>7995.1569138956802</v>
      </c>
      <c r="T21" s="10">
        <v>7999.1152785120012</v>
      </c>
      <c r="U21" s="10">
        <v>8007.2154154420323</v>
      </c>
      <c r="V21" s="10">
        <v>8007.7732154154401</v>
      </c>
      <c r="W21" s="10">
        <v>8188.8847511661197</v>
      </c>
      <c r="X21" s="10">
        <v>8191.4358995000002</v>
      </c>
      <c r="Y21" s="10">
        <v>8629.5457126274996</v>
      </c>
      <c r="Z21" s="12">
        <v>600</v>
      </c>
      <c r="AA21" s="10">
        <v>650</v>
      </c>
      <c r="AB21" s="12">
        <v>680</v>
      </c>
      <c r="AC21" s="10">
        <v>700</v>
      </c>
      <c r="AD21" s="10">
        <v>734.30372615384999</v>
      </c>
      <c r="AE21" s="10">
        <v>714.38009374137005</v>
      </c>
      <c r="AF21" s="10">
        <v>710.11146025261905</v>
      </c>
      <c r="AG21" s="10">
        <v>716.60808056463623</v>
      </c>
      <c r="AH21" s="10">
        <v>716.63320808056403</v>
      </c>
      <c r="AI21" s="10">
        <v>810.03364167119798</v>
      </c>
      <c r="AJ21" s="10">
        <v>816.58897559290006</v>
      </c>
      <c r="AK21" s="10">
        <v>889.10188934179996</v>
      </c>
      <c r="AL21" s="12">
        <v>650</v>
      </c>
      <c r="AM21" s="10">
        <v>680</v>
      </c>
      <c r="AN21" s="12">
        <v>700</v>
      </c>
      <c r="AO21" s="10">
        <v>730</v>
      </c>
      <c r="AP21" s="10">
        <v>786.50769230769197</v>
      </c>
      <c r="AQ21" s="10">
        <v>750.58948910769197</v>
      </c>
      <c r="AR21" s="10">
        <v>757.37285076923001</v>
      </c>
      <c r="AS21" s="10">
        <v>771.25387579603773</v>
      </c>
      <c r="AT21" s="10">
        <v>775.62253875796</v>
      </c>
      <c r="AU21" s="10">
        <v>878.25575453251201</v>
      </c>
      <c r="AV21" s="10">
        <v>884.01750065709996</v>
      </c>
      <c r="AW21" s="10">
        <v>947.65538506129997</v>
      </c>
      <c r="AX21" s="13">
        <v>950</v>
      </c>
      <c r="AY21" s="20">
        <v>970</v>
      </c>
      <c r="AZ21" s="13">
        <v>1000</v>
      </c>
      <c r="BA21" s="20">
        <v>1050</v>
      </c>
      <c r="BB21" s="20">
        <v>1075.3028079999999</v>
      </c>
      <c r="BC21" s="20">
        <v>1075.4146394920319</v>
      </c>
      <c r="BD21" s="20">
        <v>1076.4856410888001</v>
      </c>
      <c r="BE21" s="20">
        <v>1078.6772682952314</v>
      </c>
      <c r="BF21" s="20">
        <v>1080.21677268295</v>
      </c>
      <c r="BG21" s="20">
        <v>1100.43513822399</v>
      </c>
      <c r="BH21" s="20">
        <v>1180.1769999999999</v>
      </c>
      <c r="BI21" s="20">
        <v>1393.04072</v>
      </c>
    </row>
    <row r="22" spans="1:61" x14ac:dyDescent="0.25">
      <c r="A22" s="17" t="s">
        <v>37</v>
      </c>
      <c r="B22" s="12">
        <v>127000</v>
      </c>
      <c r="C22" s="10">
        <v>127600</v>
      </c>
      <c r="D22" s="12">
        <v>128000</v>
      </c>
      <c r="E22" s="10">
        <v>128500</v>
      </c>
      <c r="F22" s="10">
        <v>128615.77899999999</v>
      </c>
      <c r="G22" s="10">
        <v>127749.53941016</v>
      </c>
      <c r="H22" s="10">
        <v>127852.11172574</v>
      </c>
      <c r="I22" s="10">
        <v>126462.00896411001</v>
      </c>
      <c r="J22" s="10">
        <v>126067.76608964099</v>
      </c>
      <c r="K22" s="10">
        <v>129200.76608964099</v>
      </c>
      <c r="L22" s="10">
        <v>129500.76608964099</v>
      </c>
      <c r="M22" s="10">
        <v>224500.76608964099</v>
      </c>
      <c r="N22" s="12">
        <v>7400</v>
      </c>
      <c r="O22" s="10">
        <v>7450</v>
      </c>
      <c r="P22" s="12">
        <v>7590</v>
      </c>
      <c r="Q22" s="10">
        <v>7551.1034374999999</v>
      </c>
      <c r="R22" s="10">
        <v>7586.9579624999997</v>
      </c>
      <c r="S22" s="10">
        <v>7594.8483987809996</v>
      </c>
      <c r="T22" s="10">
        <v>7620.0001379402502</v>
      </c>
      <c r="U22" s="10">
        <v>7671.4690022228215</v>
      </c>
      <c r="V22" s="10">
        <v>7672.6469002222802</v>
      </c>
      <c r="W22" s="10">
        <v>7790.8364690022199</v>
      </c>
      <c r="X22" s="10">
        <v>7890.5488490950002</v>
      </c>
      <c r="Y22" s="10">
        <v>8055.1321600921001</v>
      </c>
      <c r="Z22" s="12">
        <v>950</v>
      </c>
      <c r="AA22" s="10">
        <v>970</v>
      </c>
      <c r="AB22" s="12">
        <v>980</v>
      </c>
      <c r="AC22" s="10">
        <v>960.15803568750005</v>
      </c>
      <c r="AD22" s="10">
        <v>976.56392854249998</v>
      </c>
      <c r="AE22" s="10">
        <v>987.57955502818402</v>
      </c>
      <c r="AF22" s="10">
        <v>977.59908630675511</v>
      </c>
      <c r="AG22" s="10">
        <v>990.6853880402598</v>
      </c>
      <c r="AH22" s="10">
        <v>990.88538804025995</v>
      </c>
      <c r="AI22" s="10">
        <v>1010.75488538804</v>
      </c>
      <c r="AJ22" s="10">
        <v>1052.8226569999999</v>
      </c>
      <c r="AK22" s="10">
        <v>1146.558221495</v>
      </c>
      <c r="AL22" s="12">
        <v>436.444444444444</v>
      </c>
      <c r="AM22" s="10">
        <v>466.66666666666703</v>
      </c>
      <c r="AN22" s="12">
        <v>500</v>
      </c>
      <c r="AO22" s="10">
        <v>550</v>
      </c>
      <c r="AP22" s="10">
        <v>636.56392854249998</v>
      </c>
      <c r="AQ22" s="10">
        <v>640.22595502818399</v>
      </c>
      <c r="AR22" s="10">
        <v>645.23868630675497</v>
      </c>
      <c r="AS22" s="10">
        <v>655.49640980763184</v>
      </c>
      <c r="AT22" s="10">
        <v>655.89640980763204</v>
      </c>
      <c r="AU22" s="10">
        <v>682.33896409807596</v>
      </c>
      <c r="AV22" s="10">
        <v>739.40575279999996</v>
      </c>
      <c r="AW22" s="10">
        <v>857.06689769599996</v>
      </c>
      <c r="AX22" s="13">
        <v>1000</v>
      </c>
      <c r="AY22" s="20">
        <v>1050</v>
      </c>
      <c r="AZ22" s="13">
        <v>1100</v>
      </c>
      <c r="BA22" s="20">
        <v>1140</v>
      </c>
      <c r="BB22" s="20">
        <v>1175.4368079999999</v>
      </c>
      <c r="BC22" s="20">
        <v>1176.6592622803198</v>
      </c>
      <c r="BD22" s="20">
        <v>1186.68277101648</v>
      </c>
      <c r="BE22" s="20">
        <v>1207.1942198475185</v>
      </c>
      <c r="BF22" s="20">
        <v>1208.6942198475199</v>
      </c>
      <c r="BG22" s="20">
        <v>1213.6942198470001</v>
      </c>
      <c r="BH22" s="20">
        <v>1234.65289585</v>
      </c>
      <c r="BI22" s="20">
        <v>1540</v>
      </c>
    </row>
    <row r="23" spans="1:61" x14ac:dyDescent="0.25">
      <c r="A23" s="17" t="s">
        <v>38</v>
      </c>
      <c r="B23" s="12">
        <v>125110</v>
      </c>
      <c r="C23" s="10">
        <v>125500</v>
      </c>
      <c r="D23" s="12">
        <v>126000</v>
      </c>
      <c r="E23" s="10">
        <v>126500</v>
      </c>
      <c r="F23" s="10">
        <v>126615.77899999999</v>
      </c>
      <c r="G23" s="10">
        <v>126753.79019910999</v>
      </c>
      <c r="H23" s="10">
        <v>126762.65330364001</v>
      </c>
      <c r="I23" s="10">
        <v>126941.139599756</v>
      </c>
      <c r="J23" s="10">
        <v>126980.188959975</v>
      </c>
      <c r="K23" s="10">
        <v>128200.712660896</v>
      </c>
      <c r="L23" s="10">
        <v>128800.712660896</v>
      </c>
      <c r="M23" s="10">
        <v>228200.71266089601</v>
      </c>
      <c r="N23" s="12">
        <v>7400</v>
      </c>
      <c r="O23" s="10">
        <v>7450</v>
      </c>
      <c r="P23" s="12">
        <v>7430</v>
      </c>
      <c r="Q23" s="10">
        <v>7677.5</v>
      </c>
      <c r="R23" s="10">
        <v>7706.9579624999997</v>
      </c>
      <c r="S23" s="10">
        <v>7745.3585466791201</v>
      </c>
      <c r="T23" s="10">
        <v>7715.8980337365001</v>
      </c>
      <c r="U23" s="10">
        <v>7746.9912148167214</v>
      </c>
      <c r="V23" s="10">
        <v>7750.0229912148097</v>
      </c>
      <c r="W23" s="10">
        <v>7790.8364690022199</v>
      </c>
      <c r="X23" s="10">
        <v>7818.0048800000004</v>
      </c>
      <c r="Y23" s="10">
        <v>8406.0152543999993</v>
      </c>
      <c r="Z23" s="12">
        <v>930</v>
      </c>
      <c r="AA23" s="10">
        <v>950</v>
      </c>
      <c r="AB23" s="12">
        <v>970</v>
      </c>
      <c r="AC23" s="10">
        <v>955</v>
      </c>
      <c r="AD23" s="10">
        <v>966.56392854249998</v>
      </c>
      <c r="AE23" s="10">
        <v>900</v>
      </c>
      <c r="AF23" s="10">
        <v>850</v>
      </c>
      <c r="AG23" s="10">
        <v>900.3167105</v>
      </c>
      <c r="AH23" s="10">
        <v>900.8167105</v>
      </c>
      <c r="AI23" s="10">
        <v>910.75488538803995</v>
      </c>
      <c r="AJ23" s="10">
        <v>907.44942000000003</v>
      </c>
      <c r="AK23" s="10">
        <v>945.0468257</v>
      </c>
      <c r="AL23" s="12">
        <v>540</v>
      </c>
      <c r="AM23" s="10">
        <v>550</v>
      </c>
      <c r="AN23" s="12">
        <v>580</v>
      </c>
      <c r="AO23" s="10">
        <v>598.40112499999998</v>
      </c>
      <c r="AP23" s="10">
        <v>636.56392854249998</v>
      </c>
      <c r="AQ23" s="10">
        <v>640.25778322461099</v>
      </c>
      <c r="AR23" s="10">
        <v>652.30234269960897</v>
      </c>
      <c r="AS23" s="10">
        <v>656.44530350817695</v>
      </c>
      <c r="AT23" s="10">
        <v>659.93345303508102</v>
      </c>
      <c r="AU23" s="10">
        <v>682.87338964098001</v>
      </c>
      <c r="AV23" s="10">
        <v>693.53379937499994</v>
      </c>
      <c r="AW23" s="10">
        <v>718.64831214690003</v>
      </c>
      <c r="AX23" s="13">
        <v>850</v>
      </c>
      <c r="AY23" s="20">
        <v>880.875</v>
      </c>
      <c r="AZ23" s="13">
        <v>900</v>
      </c>
      <c r="BA23" s="20">
        <v>945.51750000000004</v>
      </c>
      <c r="BB23" s="20">
        <v>975.61380799999995</v>
      </c>
      <c r="BC23" s="20">
        <v>976.67722705072003</v>
      </c>
      <c r="BD23" s="20">
        <v>986.74552001728</v>
      </c>
      <c r="BE23" s="20">
        <v>996.87883904391697</v>
      </c>
      <c r="BF23" s="20">
        <v>1000.0112878839</v>
      </c>
      <c r="BG23" s="20">
        <v>1053.6942198470001</v>
      </c>
      <c r="BH23" s="20">
        <v>1071.152</v>
      </c>
      <c r="BI23" s="20">
        <v>1144.2764</v>
      </c>
    </row>
    <row r="24" spans="1:61" x14ac:dyDescent="0.25">
      <c r="A24" s="17" t="s">
        <v>39</v>
      </c>
      <c r="B24" s="12">
        <v>127000</v>
      </c>
      <c r="C24" s="10">
        <v>127550</v>
      </c>
      <c r="D24" s="12">
        <v>128000</v>
      </c>
      <c r="E24" s="10">
        <v>128500</v>
      </c>
      <c r="F24" s="10">
        <v>128615.77899999999</v>
      </c>
      <c r="G24" s="10">
        <v>128670.4779</v>
      </c>
      <c r="H24" s="10">
        <v>128690.55779000001</v>
      </c>
      <c r="I24" s="10">
        <v>128690.65577899999</v>
      </c>
      <c r="J24" s="10">
        <v>128697.67755779</v>
      </c>
      <c r="K24" s="10">
        <v>129884.877677557</v>
      </c>
      <c r="L24" s="10">
        <v>129954.877677557</v>
      </c>
      <c r="M24" s="10">
        <v>181884.877677557</v>
      </c>
      <c r="N24" s="12">
        <v>9233.3333333333303</v>
      </c>
      <c r="O24" s="10">
        <v>9300</v>
      </c>
      <c r="P24" s="12">
        <v>9400</v>
      </c>
      <c r="Q24" s="10">
        <v>9200.6666666666697</v>
      </c>
      <c r="R24" s="10">
        <v>9216.9579625000006</v>
      </c>
      <c r="S24" s="10">
        <v>9256.8579625000002</v>
      </c>
      <c r="T24" s="10">
        <v>9258.5857962499995</v>
      </c>
      <c r="U24" s="10">
        <v>9262.0869648868156</v>
      </c>
      <c r="V24" s="10">
        <v>9264.9086964886792</v>
      </c>
      <c r="W24" s="10">
        <v>9305.9086964886792</v>
      </c>
      <c r="X24" s="10">
        <v>9319.625</v>
      </c>
      <c r="Y24" s="10">
        <v>9480.1806250000009</v>
      </c>
      <c r="Z24" s="12">
        <v>930</v>
      </c>
      <c r="AA24" s="10">
        <v>950</v>
      </c>
      <c r="AB24" s="12">
        <v>980</v>
      </c>
      <c r="AC24" s="10">
        <v>930</v>
      </c>
      <c r="AD24" s="10">
        <v>966.56392854249998</v>
      </c>
      <c r="AE24" s="10">
        <v>970.45639285425</v>
      </c>
      <c r="AF24" s="10">
        <v>970.75639285424995</v>
      </c>
      <c r="AG24" s="10">
        <v>971.36429311724987</v>
      </c>
      <c r="AH24" s="10">
        <v>978.86429311724999</v>
      </c>
      <c r="AI24" s="10">
        <v>994.22864293117198</v>
      </c>
      <c r="AJ24" s="10">
        <v>1019.625</v>
      </c>
      <c r="AK24" s="10">
        <v>1123.788125</v>
      </c>
      <c r="AL24" s="12">
        <v>580</v>
      </c>
      <c r="AM24" s="10">
        <v>600</v>
      </c>
      <c r="AN24" s="12">
        <v>650</v>
      </c>
      <c r="AO24" s="10">
        <v>680</v>
      </c>
      <c r="AP24" s="10">
        <v>698.56392854249998</v>
      </c>
      <c r="AQ24" s="10">
        <v>700.75639285424995</v>
      </c>
      <c r="AR24" s="10">
        <v>750.75639285424995</v>
      </c>
      <c r="AS24" s="10">
        <v>802.07310335424995</v>
      </c>
      <c r="AT24" s="10">
        <v>807.25507310335399</v>
      </c>
      <c r="AU24" s="10">
        <v>815.64525507310304</v>
      </c>
      <c r="AV24" s="10">
        <v>846.14880000000005</v>
      </c>
      <c r="AW24" s="10">
        <v>913.62757599999998</v>
      </c>
      <c r="AX24" s="13">
        <v>1550</v>
      </c>
      <c r="AY24" s="20">
        <v>1580</v>
      </c>
      <c r="AZ24" s="13">
        <v>1600</v>
      </c>
      <c r="BA24" s="20">
        <v>1500</v>
      </c>
      <c r="BB24" s="20">
        <v>1515.7168079999999</v>
      </c>
      <c r="BC24" s="20">
        <v>1555.7168079999999</v>
      </c>
      <c r="BD24" s="20">
        <v>1568.4716808000001</v>
      </c>
      <c r="BE24" s="20">
        <v>1600.31731589884</v>
      </c>
      <c r="BF24" s="20">
        <v>1615.5417315898801</v>
      </c>
      <c r="BG24" s="20">
        <v>1640.2135417315801</v>
      </c>
      <c r="BH24" s="20">
        <v>1657.5</v>
      </c>
      <c r="BI24" s="20">
        <v>1800.3125</v>
      </c>
    </row>
    <row r="25" spans="1:61" x14ac:dyDescent="0.25">
      <c r="A25" s="17" t="s">
        <v>40</v>
      </c>
      <c r="B25" s="12">
        <v>130000</v>
      </c>
      <c r="C25" s="10">
        <v>132000</v>
      </c>
      <c r="D25" s="12">
        <v>132550</v>
      </c>
      <c r="E25" s="10">
        <v>134450</v>
      </c>
      <c r="F25" s="10">
        <v>134615.77900000001</v>
      </c>
      <c r="G25" s="10">
        <v>134660.17790000001</v>
      </c>
      <c r="H25" s="10">
        <v>134660.98779000001</v>
      </c>
      <c r="I25" s="10">
        <v>134000.618375633</v>
      </c>
      <c r="J25" s="10">
        <v>134070.061837563</v>
      </c>
      <c r="K25" s="10">
        <v>135884.23887767701</v>
      </c>
      <c r="L25" s="10">
        <v>136554.93208</v>
      </c>
      <c r="M25" s="10">
        <v>235143.3175642</v>
      </c>
      <c r="N25" s="12">
        <v>5728.5571389999996</v>
      </c>
      <c r="O25" s="10">
        <v>5828.5571389999996</v>
      </c>
      <c r="P25" s="12">
        <v>5900.5571389999996</v>
      </c>
      <c r="Q25" s="10">
        <v>5965.8867840749999</v>
      </c>
      <c r="R25" s="10">
        <v>5986.9579624999997</v>
      </c>
      <c r="S25" s="10">
        <v>5989.8895796249999</v>
      </c>
      <c r="T25" s="10">
        <v>5990.9988957962496</v>
      </c>
      <c r="U25" s="10">
        <v>5993.2323287460376</v>
      </c>
      <c r="V25" s="10">
        <v>5995.2732328745997</v>
      </c>
      <c r="W25" s="10">
        <v>6059.6522290869598</v>
      </c>
      <c r="X25" s="10">
        <v>6142.1729800000003</v>
      </c>
      <c r="Y25" s="10">
        <v>6295.6723767399999</v>
      </c>
      <c r="Z25" s="12">
        <v>1123.3248874999999</v>
      </c>
      <c r="AA25" s="10">
        <v>1115</v>
      </c>
      <c r="AB25" s="12">
        <v>1200</v>
      </c>
      <c r="AC25" s="10">
        <v>1233.3592000000001</v>
      </c>
      <c r="AD25" s="10">
        <v>1266.5639285425</v>
      </c>
      <c r="AE25" s="10">
        <v>1268.2639285425</v>
      </c>
      <c r="AF25" s="10">
        <v>1269.4639285425001</v>
      </c>
      <c r="AG25" s="10">
        <v>1271.8799390625002</v>
      </c>
      <c r="AH25" s="10">
        <v>1274.3879939062499</v>
      </c>
      <c r="AI25" s="10">
        <v>1300.01267228642</v>
      </c>
      <c r="AJ25" s="10">
        <v>1360.1927568182</v>
      </c>
      <c r="AK25" s="10">
        <v>1390.0904265818001</v>
      </c>
      <c r="AL25" s="12">
        <v>550</v>
      </c>
      <c r="AM25" s="10">
        <v>580</v>
      </c>
      <c r="AN25" s="12">
        <v>600</v>
      </c>
      <c r="AO25" s="10">
        <v>650.06613418500001</v>
      </c>
      <c r="AP25" s="10">
        <v>698.56392854249998</v>
      </c>
      <c r="AQ25" s="10">
        <v>698.65639285425004</v>
      </c>
      <c r="AR25" s="10">
        <v>705.65639285425004</v>
      </c>
      <c r="AS25" s="10">
        <v>719.74978755425002</v>
      </c>
      <c r="AT25" s="10">
        <v>721.48749787554198</v>
      </c>
      <c r="AU25" s="10">
        <v>785.93645255073102</v>
      </c>
      <c r="AV25" s="10">
        <v>808.39770181819995</v>
      </c>
      <c r="AW25" s="10">
        <v>852.37406909089998</v>
      </c>
      <c r="AX25" s="13">
        <v>1450</v>
      </c>
      <c r="AY25" s="20">
        <v>1480</v>
      </c>
      <c r="AZ25" s="13">
        <v>1500</v>
      </c>
      <c r="BA25" s="20">
        <v>1530</v>
      </c>
      <c r="BB25" s="20">
        <v>1555.7438079999999</v>
      </c>
      <c r="BC25" s="20">
        <v>1560.5743808</v>
      </c>
      <c r="BD25" s="20">
        <v>1570.2574380799999</v>
      </c>
      <c r="BE25" s="20">
        <v>1589.7527449585352</v>
      </c>
      <c r="BF25" s="20">
        <v>1599.8752744958499</v>
      </c>
      <c r="BG25" s="20">
        <v>1670.77213541731</v>
      </c>
      <c r="BH25" s="20">
        <v>1700</v>
      </c>
      <c r="BI25" s="20">
        <v>1800</v>
      </c>
    </row>
    <row r="26" spans="1:61" x14ac:dyDescent="0.25">
      <c r="A26" s="17" t="s">
        <v>41</v>
      </c>
      <c r="B26" s="12">
        <v>120000</v>
      </c>
      <c r="C26" s="10">
        <v>124000</v>
      </c>
      <c r="D26" s="12">
        <v>125550</v>
      </c>
      <c r="E26" s="10">
        <v>126960.75</v>
      </c>
      <c r="F26" s="10">
        <v>127067.29375</v>
      </c>
      <c r="G26" s="10">
        <v>127149</v>
      </c>
      <c r="H26" s="10">
        <v>127200</v>
      </c>
      <c r="I26" s="10">
        <v>127402.68044710001</v>
      </c>
      <c r="J26" s="10">
        <v>127405.16804470999</v>
      </c>
      <c r="K26" s="10">
        <v>129450.85238877599</v>
      </c>
      <c r="L26" s="10">
        <v>130406.455</v>
      </c>
      <c r="M26" s="10">
        <v>323850.45657500002</v>
      </c>
      <c r="N26" s="12">
        <v>7400</v>
      </c>
      <c r="O26" s="10">
        <v>7457.1428571428596</v>
      </c>
      <c r="P26" s="12">
        <v>7618.5728571428599</v>
      </c>
      <c r="Q26" s="10">
        <v>7827.97163</v>
      </c>
      <c r="R26" s="10">
        <v>7906.2093604000002</v>
      </c>
      <c r="S26" s="10">
        <v>7930</v>
      </c>
      <c r="T26" s="10">
        <v>7950</v>
      </c>
      <c r="U26" s="10">
        <v>7990.266842</v>
      </c>
      <c r="V26" s="10">
        <v>7994.4266841999997</v>
      </c>
      <c r="W26" s="10">
        <v>8050.3948665222897</v>
      </c>
      <c r="X26" s="10">
        <v>8450.8775600000008</v>
      </c>
      <c r="Y26" s="10">
        <v>8534.5165426000003</v>
      </c>
      <c r="Z26" s="12">
        <v>1150</v>
      </c>
      <c r="AA26" s="10">
        <v>1250</v>
      </c>
      <c r="AB26" s="12">
        <v>1300</v>
      </c>
      <c r="AC26" s="10">
        <v>1330.66</v>
      </c>
      <c r="AD26" s="10">
        <v>1371.6328000000001</v>
      </c>
      <c r="AE26" s="10">
        <v>1380</v>
      </c>
      <c r="AF26" s="10">
        <v>1384</v>
      </c>
      <c r="AG26" s="10">
        <v>1398.0533684</v>
      </c>
      <c r="AH26" s="10">
        <v>1399.5053368399999</v>
      </c>
      <c r="AI26" s="10">
        <v>1405.85432012672</v>
      </c>
      <c r="AJ26" s="10">
        <v>1450.8775599999999</v>
      </c>
      <c r="AK26" s="10">
        <v>1529.9071996</v>
      </c>
      <c r="AL26" s="12">
        <v>950</v>
      </c>
      <c r="AM26" s="10">
        <v>980</v>
      </c>
      <c r="AN26" s="12">
        <v>1000</v>
      </c>
      <c r="AO26" s="10">
        <v>1050</v>
      </c>
      <c r="AP26" s="10">
        <v>1070.6079999999999</v>
      </c>
      <c r="AQ26" s="10">
        <v>1078</v>
      </c>
      <c r="AR26" s="10">
        <v>1085</v>
      </c>
      <c r="AS26" s="10">
        <v>1099.0933947000001</v>
      </c>
      <c r="AT26" s="10">
        <v>1100.3309339469999</v>
      </c>
      <c r="AU26" s="10">
        <v>1115.9364525507301</v>
      </c>
      <c r="AV26" s="10">
        <v>1164.7976000000001</v>
      </c>
      <c r="AW26" s="10">
        <v>1209.7831880000001</v>
      </c>
      <c r="AX26" s="13">
        <v>1840</v>
      </c>
      <c r="AY26" s="20">
        <v>1870</v>
      </c>
      <c r="AZ26" s="13">
        <v>1900</v>
      </c>
      <c r="BA26" s="20">
        <v>1948.8888888888901</v>
      </c>
      <c r="BB26" s="20">
        <v>1975.316808</v>
      </c>
      <c r="BC26" s="20">
        <v>1980</v>
      </c>
      <c r="BD26" s="20">
        <v>1983</v>
      </c>
      <c r="BE26" s="20">
        <v>1990.0400262999999</v>
      </c>
      <c r="BF26" s="20">
        <v>2002.12890400263</v>
      </c>
      <c r="BG26" s="20">
        <v>2070.4377213541702</v>
      </c>
      <c r="BH26" s="20">
        <v>2170.7604000000001</v>
      </c>
      <c r="BI26" s="20">
        <v>2540.0205500000002</v>
      </c>
    </row>
    <row r="27" spans="1:61" x14ac:dyDescent="0.25">
      <c r="A27" s="17" t="s">
        <v>42</v>
      </c>
      <c r="B27" s="12">
        <v>120650.95301500001</v>
      </c>
      <c r="C27" s="10">
        <v>123631.432757</v>
      </c>
      <c r="D27" s="12">
        <v>124631.432757</v>
      </c>
      <c r="E27" s="10">
        <v>124770.3128215</v>
      </c>
      <c r="F27" s="10">
        <v>125000.29375</v>
      </c>
      <c r="G27" s="10">
        <v>125000.99374999999</v>
      </c>
      <c r="H27" s="10">
        <v>125100.0399375</v>
      </c>
      <c r="I27" s="10">
        <v>125299.26351900744</v>
      </c>
      <c r="J27" s="10">
        <v>125301.23635190001</v>
      </c>
      <c r="K27" s="10">
        <v>126300.552363519</v>
      </c>
      <c r="L27" s="10">
        <v>126600.552363519</v>
      </c>
      <c r="M27" s="10">
        <v>133300.552363519</v>
      </c>
      <c r="N27" s="12">
        <v>6786.3774949999997</v>
      </c>
      <c r="O27" s="10">
        <v>6877</v>
      </c>
      <c r="P27" s="12">
        <v>6980</v>
      </c>
      <c r="Q27" s="10">
        <v>6950</v>
      </c>
      <c r="R27" s="10">
        <v>7007</v>
      </c>
      <c r="S27" s="10">
        <v>7017</v>
      </c>
      <c r="T27" s="10">
        <v>7020.06</v>
      </c>
      <c r="U27" s="10">
        <v>7026.2149482600016</v>
      </c>
      <c r="V27" s="10">
        <v>7027.1214948260003</v>
      </c>
      <c r="W27" s="10">
        <v>7076.6612149482598</v>
      </c>
      <c r="X27" s="10">
        <v>7239.0051772799998</v>
      </c>
      <c r="Y27" s="10">
        <v>7510.4622457200003</v>
      </c>
      <c r="Z27" s="12">
        <v>1204.562095</v>
      </c>
      <c r="AA27" s="10">
        <v>1200</v>
      </c>
      <c r="AB27" s="12">
        <v>1200</v>
      </c>
      <c r="AC27" s="10">
        <v>1220</v>
      </c>
      <c r="AD27" s="10">
        <v>1296</v>
      </c>
      <c r="AE27" s="10">
        <v>1300</v>
      </c>
      <c r="AF27" s="10">
        <v>1305.53</v>
      </c>
      <c r="AG27" s="10">
        <v>1316.6531581299998</v>
      </c>
      <c r="AH27" s="10">
        <v>1326.25315813</v>
      </c>
      <c r="AI27" s="10">
        <v>1326.76652531581</v>
      </c>
      <c r="AJ27" s="10">
        <v>1343.2863013399999</v>
      </c>
      <c r="AK27" s="10">
        <v>1737.4088835688999</v>
      </c>
      <c r="AL27" s="12">
        <v>570</v>
      </c>
      <c r="AM27" s="10">
        <v>600.69079499999998</v>
      </c>
      <c r="AN27" s="12">
        <v>650</v>
      </c>
      <c r="AO27" s="10">
        <v>688.92140118240002</v>
      </c>
      <c r="AP27" s="10">
        <v>700.60799999999995</v>
      </c>
      <c r="AQ27" s="10">
        <v>700.88800000000003</v>
      </c>
      <c r="AR27" s="10">
        <v>710.08879999999999</v>
      </c>
      <c r="AS27" s="10">
        <v>728.59548233679993</v>
      </c>
      <c r="AT27" s="10">
        <v>734.26595482336802</v>
      </c>
      <c r="AU27" s="10">
        <v>744.62322659548204</v>
      </c>
      <c r="AV27" s="10">
        <v>760.01601960400001</v>
      </c>
      <c r="AW27" s="10">
        <v>836.42075166510006</v>
      </c>
      <c r="AX27" s="13">
        <v>970</v>
      </c>
      <c r="AY27" s="20">
        <v>1000</v>
      </c>
      <c r="AZ27" s="13">
        <v>1050</v>
      </c>
      <c r="BA27" s="20">
        <v>1085.6108667412</v>
      </c>
      <c r="BB27" s="20">
        <v>1095.424808</v>
      </c>
      <c r="BC27" s="20">
        <v>1100.55424808</v>
      </c>
      <c r="BD27" s="20">
        <v>1150.1554248079999</v>
      </c>
      <c r="BE27" s="20">
        <v>1249.9242733034102</v>
      </c>
      <c r="BF27" s="20">
        <v>1250.11924273303</v>
      </c>
      <c r="BG27" s="20">
        <v>1255.8311924273301</v>
      </c>
      <c r="BH27" s="20">
        <v>1275.8311924273301</v>
      </c>
      <c r="BI27" s="20">
        <v>1355.8311924273301</v>
      </c>
    </row>
    <row r="28" spans="1:61" x14ac:dyDescent="0.25">
      <c r="A28" s="17" t="s">
        <v>43</v>
      </c>
      <c r="B28" s="12">
        <v>128110</v>
      </c>
      <c r="C28" s="10">
        <v>129000</v>
      </c>
      <c r="D28" s="12">
        <v>130000</v>
      </c>
      <c r="E28" s="10">
        <v>130500</v>
      </c>
      <c r="F28" s="10">
        <v>130600.29375</v>
      </c>
      <c r="G28" s="10">
        <v>130680.99374999999</v>
      </c>
      <c r="H28" s="10">
        <v>130700.99374999999</v>
      </c>
      <c r="I28" s="10">
        <v>130841.22216999999</v>
      </c>
      <c r="J28" s="10">
        <v>130844.622217</v>
      </c>
      <c r="K28" s="10">
        <v>131300.552363519</v>
      </c>
      <c r="L28" s="10">
        <v>131964.58824000001</v>
      </c>
      <c r="M28" s="10">
        <v>158432.41353640001</v>
      </c>
      <c r="N28" s="12">
        <v>7438.8816710000001</v>
      </c>
      <c r="O28" s="10">
        <v>7448.7077719999997</v>
      </c>
      <c r="P28" s="12">
        <v>7488.7077719999997</v>
      </c>
      <c r="Q28" s="10">
        <v>7496.6557367062496</v>
      </c>
      <c r="R28" s="10">
        <v>7539.4526224552501</v>
      </c>
      <c r="S28" s="10">
        <v>7540.5526224552495</v>
      </c>
      <c r="T28" s="10">
        <v>7550.6626224552501</v>
      </c>
      <c r="U28" s="10">
        <v>7570.9980887652509</v>
      </c>
      <c r="V28" s="10">
        <v>7575.1998088765204</v>
      </c>
      <c r="W28" s="10">
        <v>7776.3366121494801</v>
      </c>
      <c r="X28" s="10">
        <v>7897.1124847666997</v>
      </c>
      <c r="Y28" s="10">
        <v>8048.6954348495001</v>
      </c>
      <c r="Z28" s="12">
        <v>857.98241499999995</v>
      </c>
      <c r="AA28" s="10">
        <v>860</v>
      </c>
      <c r="AB28" s="12">
        <v>880.32</v>
      </c>
      <c r="AC28" s="10">
        <v>910.99780187499994</v>
      </c>
      <c r="AD28" s="10">
        <v>1002.620126025</v>
      </c>
      <c r="AE28" s="10">
        <v>1000.620126025</v>
      </c>
      <c r="AF28" s="10">
        <v>1022.2620126025</v>
      </c>
      <c r="AG28" s="10">
        <v>1065.7929577441018</v>
      </c>
      <c r="AH28" s="10">
        <v>1066.7192957744101</v>
      </c>
      <c r="AI28" s="10">
        <v>1026.01766525315</v>
      </c>
      <c r="AJ28" s="10">
        <v>1056.9167600000001</v>
      </c>
      <c r="AK28" s="10">
        <v>1168.3601302</v>
      </c>
      <c r="AL28" s="12">
        <v>545.22453580000013</v>
      </c>
      <c r="AM28" s="10">
        <v>568.65802800000006</v>
      </c>
      <c r="AN28" s="12">
        <v>590.26802800000019</v>
      </c>
      <c r="AO28" s="10">
        <v>595.80359137500011</v>
      </c>
      <c r="AP28" s="10">
        <v>650.60799999999995</v>
      </c>
      <c r="AQ28" s="10">
        <v>660.88080000000002</v>
      </c>
      <c r="AR28" s="10">
        <v>660.90800000000002</v>
      </c>
      <c r="AS28" s="10">
        <v>660.96271065120004</v>
      </c>
      <c r="AT28" s="10">
        <v>661.49627106512003</v>
      </c>
      <c r="AU28" s="10">
        <v>714.55623226595401</v>
      </c>
      <c r="AV28" s="10">
        <v>722.28576666670006</v>
      </c>
      <c r="AW28" s="10">
        <v>756.11503283330001</v>
      </c>
      <c r="AX28" s="13">
        <v>950</v>
      </c>
      <c r="AY28" s="20">
        <v>980</v>
      </c>
      <c r="AZ28" s="13">
        <v>1100</v>
      </c>
      <c r="BA28" s="20">
        <v>1120</v>
      </c>
      <c r="BB28" s="20">
        <v>1125.656808</v>
      </c>
      <c r="BC28" s="20">
        <v>1135.856808</v>
      </c>
      <c r="BD28" s="20">
        <v>1140.1856808</v>
      </c>
      <c r="BE28" s="20">
        <v>1148.8928664562488</v>
      </c>
      <c r="BF28" s="20">
        <v>1168.09286645625</v>
      </c>
      <c r="BG28" s="20">
        <v>1155.1831192427301</v>
      </c>
      <c r="BH28" s="20">
        <v>1165.4592723999999</v>
      </c>
      <c r="BI28" s="20">
        <v>1288.8640896899999</v>
      </c>
    </row>
    <row r="29" spans="1:61" x14ac:dyDescent="0.25">
      <c r="A29" s="17" t="s">
        <v>44</v>
      </c>
      <c r="B29" s="12">
        <v>128650.95301500001</v>
      </c>
      <c r="C29" s="10">
        <v>127631.432757</v>
      </c>
      <c r="D29" s="12">
        <v>127700.432757</v>
      </c>
      <c r="E29" s="10">
        <v>127800.432757</v>
      </c>
      <c r="F29" s="10">
        <v>127900.29375</v>
      </c>
      <c r="G29" s="10">
        <v>127980</v>
      </c>
      <c r="H29" s="10">
        <v>128000</v>
      </c>
      <c r="I29" s="10">
        <v>128000.22842</v>
      </c>
      <c r="J29" s="10">
        <v>128050.24284200001</v>
      </c>
      <c r="K29" s="10">
        <v>129800.43242842</v>
      </c>
      <c r="L29" s="10">
        <v>129850.43242842</v>
      </c>
      <c r="M29" s="10">
        <v>189800.43242842</v>
      </c>
      <c r="N29" s="12">
        <v>9550</v>
      </c>
      <c r="O29" s="10">
        <v>9650</v>
      </c>
      <c r="P29" s="12">
        <v>9733.2549999999992</v>
      </c>
      <c r="Q29" s="10">
        <v>9460.0625</v>
      </c>
      <c r="R29" s="10">
        <v>9538.0499999999993</v>
      </c>
      <c r="S29" s="10">
        <v>9548</v>
      </c>
      <c r="T29" s="10">
        <v>9560</v>
      </c>
      <c r="U29" s="10">
        <v>9584.137052</v>
      </c>
      <c r="V29" s="10">
        <v>9585.1637052000005</v>
      </c>
      <c r="W29" s="10">
        <v>9705.5416370519997</v>
      </c>
      <c r="X29" s="10">
        <v>9748.2891600000003</v>
      </c>
      <c r="Y29" s="10">
        <v>9848.2003248000001</v>
      </c>
      <c r="Z29" s="12">
        <v>954.66666666667004</v>
      </c>
      <c r="AA29" s="10">
        <v>965</v>
      </c>
      <c r="AB29" s="12">
        <v>986.22833333333006</v>
      </c>
      <c r="AC29" s="10">
        <v>1022.5</v>
      </c>
      <c r="AD29" s="10">
        <v>1138.05</v>
      </c>
      <c r="AE29" s="10">
        <v>1140</v>
      </c>
      <c r="AF29" s="10">
        <v>1148</v>
      </c>
      <c r="AG29" s="10">
        <v>1166.0913680000001</v>
      </c>
      <c r="AH29" s="10">
        <v>1168.7091367999999</v>
      </c>
      <c r="AI29" s="10">
        <v>1208.3270913680001</v>
      </c>
      <c r="AJ29" s="10">
        <v>1259.7580312499999</v>
      </c>
      <c r="AK29" s="10">
        <v>1359.8443501063</v>
      </c>
      <c r="AL29" s="12">
        <v>586.66666666666697</v>
      </c>
      <c r="AM29" s="10">
        <v>545</v>
      </c>
      <c r="AN29" s="12">
        <v>649.80166666666696</v>
      </c>
      <c r="AO29" s="10">
        <v>676</v>
      </c>
      <c r="AP29" s="10">
        <v>1138.05</v>
      </c>
      <c r="AQ29" s="10">
        <v>1145</v>
      </c>
      <c r="AR29" s="10">
        <v>1150</v>
      </c>
      <c r="AS29" s="10">
        <v>1180.0571050000001</v>
      </c>
      <c r="AT29" s="10">
        <v>1182.3057105</v>
      </c>
      <c r="AU29" s="10">
        <v>1204.3057105</v>
      </c>
      <c r="AV29" s="10">
        <v>1205.1740150000001</v>
      </c>
      <c r="AW29" s="10">
        <v>1288.107074025</v>
      </c>
      <c r="AX29" s="13">
        <v>2350</v>
      </c>
      <c r="AY29" s="20">
        <v>2300</v>
      </c>
      <c r="AZ29" s="13">
        <v>2368.3000000000002</v>
      </c>
      <c r="BA29" s="20">
        <v>2455.37</v>
      </c>
      <c r="BB29" s="20">
        <v>2475.7668079999999</v>
      </c>
      <c r="BC29" s="20">
        <v>2485</v>
      </c>
      <c r="BD29" s="20">
        <v>2510.4275433119997</v>
      </c>
      <c r="BE29" s="20">
        <v>2560.5730379081701</v>
      </c>
      <c r="BF29" s="20">
        <v>2562.0573037908098</v>
      </c>
      <c r="BG29" s="20">
        <v>2580.4305730379001</v>
      </c>
      <c r="BH29" s="20">
        <v>2588.284838</v>
      </c>
      <c r="BI29" s="20">
        <v>2745.2301786500002</v>
      </c>
    </row>
    <row r="30" spans="1:61" x14ac:dyDescent="0.25">
      <c r="A30" s="17" t="s">
        <v>45</v>
      </c>
      <c r="B30" s="12">
        <v>126510</v>
      </c>
      <c r="C30" s="10">
        <v>127000</v>
      </c>
      <c r="D30" s="12">
        <v>128000</v>
      </c>
      <c r="E30" s="10">
        <v>141795.83333333334</v>
      </c>
      <c r="F30" s="10">
        <v>141900</v>
      </c>
      <c r="G30" s="10">
        <v>138979.9</v>
      </c>
      <c r="H30" s="10">
        <v>137286.6</v>
      </c>
      <c r="I30" s="10">
        <v>136482.711407</v>
      </c>
      <c r="J30" s="10">
        <v>136788.7711407</v>
      </c>
      <c r="K30" s="10">
        <v>138688.447711407</v>
      </c>
      <c r="L30" s="10">
        <v>138964.58824000001</v>
      </c>
      <c r="M30" s="10">
        <v>258432.41353640001</v>
      </c>
      <c r="N30" s="12">
        <v>7650</v>
      </c>
      <c r="O30" s="10">
        <v>7700</v>
      </c>
      <c r="P30" s="12">
        <v>7750</v>
      </c>
      <c r="Q30" s="10">
        <v>7666.6666666666997</v>
      </c>
      <c r="R30" s="10">
        <v>7689</v>
      </c>
      <c r="S30" s="10">
        <v>7690.4690000000001</v>
      </c>
      <c r="T30" s="10">
        <v>7796.6459999999997</v>
      </c>
      <c r="U30" s="10">
        <v>7810.0840671699998</v>
      </c>
      <c r="V30" s="10">
        <v>7813.1084067170004</v>
      </c>
      <c r="W30" s="10">
        <v>7883.6891084067101</v>
      </c>
      <c r="X30" s="10">
        <v>7897.6546114286002</v>
      </c>
      <c r="Y30" s="10">
        <v>8246.9532775713997</v>
      </c>
      <c r="Z30" s="12">
        <v>1173.3333333333301</v>
      </c>
      <c r="AA30" s="10">
        <v>1160</v>
      </c>
      <c r="AB30" s="12">
        <v>1168.2166666666701</v>
      </c>
      <c r="AC30" s="10">
        <v>1180.2249999999999</v>
      </c>
      <c r="AD30" s="10">
        <v>1198.05</v>
      </c>
      <c r="AE30" s="10">
        <v>1200.2090499999999</v>
      </c>
      <c r="AF30" s="10">
        <v>1226.8032000000001</v>
      </c>
      <c r="AG30" s="10">
        <v>1280.2630262715004</v>
      </c>
      <c r="AH30" s="10">
        <v>1284.1263026271499</v>
      </c>
      <c r="AI30" s="10">
        <v>1290.65126302627</v>
      </c>
      <c r="AJ30" s="10">
        <v>1306.2478149999999</v>
      </c>
      <c r="AK30" s="10">
        <v>1378.5847270249999</v>
      </c>
      <c r="AL30" s="12">
        <v>820</v>
      </c>
      <c r="AM30" s="10">
        <v>837.14285710000001</v>
      </c>
      <c r="AN30" s="12">
        <v>847.14285710000001</v>
      </c>
      <c r="AO30" s="10">
        <v>850.66666666666697</v>
      </c>
      <c r="AP30" s="10">
        <v>878.05</v>
      </c>
      <c r="AQ30" s="10">
        <v>880.48905000000002</v>
      </c>
      <c r="AR30" s="10">
        <v>890.34269999999992</v>
      </c>
      <c r="AS30" s="10">
        <v>910.15060576649978</v>
      </c>
      <c r="AT30" s="10">
        <v>911.13506057664995</v>
      </c>
      <c r="AU30" s="10">
        <v>916.54135060576596</v>
      </c>
      <c r="AV30" s="10">
        <v>951.14400000000001</v>
      </c>
      <c r="AW30" s="10">
        <v>984.42945257140002</v>
      </c>
      <c r="AX30" s="13">
        <v>1655</v>
      </c>
      <c r="AY30" s="20">
        <v>1680</v>
      </c>
      <c r="AZ30" s="13">
        <v>2000</v>
      </c>
      <c r="BA30" s="20">
        <v>2000</v>
      </c>
      <c r="BB30" s="20">
        <v>2015.556808</v>
      </c>
      <c r="BC30" s="20">
        <v>2057.8835009679997</v>
      </c>
      <c r="BD30" s="20">
        <v>2043.7746033120002</v>
      </c>
      <c r="BE30" s="20">
        <v>2045.4127561549301</v>
      </c>
      <c r="BF30" s="20">
        <v>2050.45127561549</v>
      </c>
      <c r="BG30" s="20">
        <v>2058.8845127561499</v>
      </c>
      <c r="BH30" s="20">
        <v>2092.8248920000001</v>
      </c>
      <c r="BI30" s="20">
        <v>2263.8701650600001</v>
      </c>
    </row>
    <row r="31" spans="1:61" x14ac:dyDescent="0.25">
      <c r="A31" s="17" t="s">
        <v>46</v>
      </c>
      <c r="B31" s="12">
        <v>130000</v>
      </c>
      <c r="C31" s="10">
        <v>132000</v>
      </c>
      <c r="D31" s="12">
        <v>134300</v>
      </c>
      <c r="E31" s="10">
        <v>135800</v>
      </c>
      <c r="F31" s="10">
        <v>135900</v>
      </c>
      <c r="G31" s="10">
        <v>135912.9</v>
      </c>
      <c r="H31" s="10">
        <v>135950.16</v>
      </c>
      <c r="I31" s="10">
        <v>134005.0604246</v>
      </c>
      <c r="J31" s="10">
        <v>134307.30604246</v>
      </c>
      <c r="K31" s="10">
        <v>136688.447711407</v>
      </c>
      <c r="L31" s="10">
        <v>136798.447711407</v>
      </c>
      <c r="M31" s="10">
        <v>236688.447711407</v>
      </c>
      <c r="N31" s="12">
        <v>6922.2222222222199</v>
      </c>
      <c r="O31" s="10">
        <v>7122.2222222222199</v>
      </c>
      <c r="P31" s="12">
        <v>7101.5977777777798</v>
      </c>
      <c r="Q31" s="10">
        <v>7354.82</v>
      </c>
      <c r="R31" s="10">
        <v>7380.1611555555601</v>
      </c>
      <c r="S31" s="10">
        <v>7385.9461513777796</v>
      </c>
      <c r="T31" s="10">
        <v>7619.2783769955604</v>
      </c>
      <c r="U31" s="10">
        <v>7688.32515025468</v>
      </c>
      <c r="V31" s="10">
        <v>7689.31251502546</v>
      </c>
      <c r="W31" s="10">
        <v>7883.6891084067101</v>
      </c>
      <c r="X31" s="10">
        <v>7950.1416074999997</v>
      </c>
      <c r="Y31" s="10">
        <v>8150.1491084125</v>
      </c>
      <c r="Z31" s="12">
        <v>700</v>
      </c>
      <c r="AA31" s="10">
        <v>800</v>
      </c>
      <c r="AB31" s="12">
        <v>850</v>
      </c>
      <c r="AC31" s="10">
        <v>856.52450555555595</v>
      </c>
      <c r="AD31" s="10">
        <v>862.154632666667</v>
      </c>
      <c r="AE31" s="10">
        <v>888.8814262793336</v>
      </c>
      <c r="AF31" s="10">
        <v>890.08844276506704</v>
      </c>
      <c r="AG31" s="10">
        <v>892.51479937485328</v>
      </c>
      <c r="AH31" s="10">
        <v>895.71479937485299</v>
      </c>
      <c r="AI31" s="10">
        <v>899.99714799374794</v>
      </c>
      <c r="AJ31" s="10">
        <v>967.04986799999995</v>
      </c>
      <c r="AK31" s="10">
        <v>1123.4452358599999</v>
      </c>
      <c r="AL31" s="12">
        <v>525</v>
      </c>
      <c r="AM31" s="10">
        <v>550</v>
      </c>
      <c r="AN31" s="12">
        <v>636.44000000000005</v>
      </c>
      <c r="AO31" s="10">
        <v>649.76444444444405</v>
      </c>
      <c r="AP31" s="10">
        <v>678.05</v>
      </c>
      <c r="AQ31" s="10">
        <v>699.06954999999994</v>
      </c>
      <c r="AR31" s="10">
        <v>700.01881999999989</v>
      </c>
      <c r="AS31" s="10">
        <v>720.92705204670006</v>
      </c>
      <c r="AT31" s="10">
        <v>722.95270520467</v>
      </c>
      <c r="AU31" s="10">
        <v>806.64541350605703</v>
      </c>
      <c r="AV31" s="10">
        <v>857.66638750000004</v>
      </c>
      <c r="AW31" s="10">
        <v>970.6524354375</v>
      </c>
      <c r="AX31" s="13">
        <v>1250</v>
      </c>
      <c r="AY31" s="20">
        <v>1300</v>
      </c>
      <c r="AZ31" s="13">
        <v>1348.3</v>
      </c>
      <c r="BA31" s="20">
        <v>1438.3</v>
      </c>
      <c r="BB31" s="20">
        <v>1455.4468079999999</v>
      </c>
      <c r="BC31" s="20">
        <v>1470.565659048</v>
      </c>
      <c r="BD31" s="20">
        <v>1502.6032845791999</v>
      </c>
      <c r="BE31" s="20">
        <v>1567.0056397982733</v>
      </c>
      <c r="BF31" s="20">
        <v>1570.66005639798</v>
      </c>
      <c r="BG31" s="20">
        <v>1658.82184512756</v>
      </c>
      <c r="BH31" s="20">
        <v>1784.0208</v>
      </c>
      <c r="BI31" s="20">
        <v>1851.717768</v>
      </c>
    </row>
    <row r="32" spans="1:61" x14ac:dyDescent="0.25">
      <c r="A32" s="17" t="s">
        <v>47</v>
      </c>
      <c r="B32" s="12">
        <v>140110</v>
      </c>
      <c r="C32" s="10">
        <v>143000</v>
      </c>
      <c r="D32" s="12">
        <v>142500</v>
      </c>
      <c r="E32" s="10">
        <v>143000</v>
      </c>
      <c r="F32" s="10">
        <v>143200</v>
      </c>
      <c r="G32" s="10">
        <v>140275.92000000001</v>
      </c>
      <c r="H32" s="10">
        <v>140186.288</v>
      </c>
      <c r="I32" s="10">
        <v>140447.16096127999</v>
      </c>
      <c r="J32" s="10">
        <v>140448.21609612799</v>
      </c>
      <c r="K32" s="10">
        <v>140550.85521609601</v>
      </c>
      <c r="L32" s="10">
        <v>140664.50824</v>
      </c>
      <c r="M32" s="10">
        <v>302451.7053012001</v>
      </c>
      <c r="N32" s="12">
        <v>9625</v>
      </c>
      <c r="O32" s="10">
        <v>9425</v>
      </c>
      <c r="P32" s="12">
        <v>9524.4624999999996</v>
      </c>
      <c r="Q32" s="10">
        <v>9559.6625000000004</v>
      </c>
      <c r="R32" s="10">
        <v>9580.1611555555592</v>
      </c>
      <c r="S32" s="10">
        <v>9605.6612666933397</v>
      </c>
      <c r="T32" s="10">
        <v>9707.9605053706691</v>
      </c>
      <c r="U32" s="10">
        <v>9913.9103556682549</v>
      </c>
      <c r="V32" s="10">
        <v>9917.1910355668206</v>
      </c>
      <c r="W32" s="10">
        <v>10200.191035566</v>
      </c>
      <c r="X32" s="10">
        <v>10359.44406</v>
      </c>
      <c r="Y32" s="10">
        <v>10486.439159699999</v>
      </c>
      <c r="Z32" s="12">
        <v>800</v>
      </c>
      <c r="AA32" s="10">
        <v>850</v>
      </c>
      <c r="AB32" s="12">
        <v>880</v>
      </c>
      <c r="AC32" s="10">
        <v>915.2</v>
      </c>
      <c r="AD32" s="10">
        <v>942.154632666667</v>
      </c>
      <c r="AE32" s="10">
        <v>944.49685835460002</v>
      </c>
      <c r="AF32" s="10">
        <v>954.72297546644029</v>
      </c>
      <c r="AG32" s="10">
        <v>995.31029669716804</v>
      </c>
      <c r="AH32" s="10">
        <v>998.33102966971603</v>
      </c>
      <c r="AI32" s="10">
        <v>1000</v>
      </c>
      <c r="AJ32" s="10">
        <v>1068.0450719999999</v>
      </c>
      <c r="AK32" s="10">
        <v>1259.1834772</v>
      </c>
      <c r="AL32" s="12">
        <v>645</v>
      </c>
      <c r="AM32" s="10">
        <v>655</v>
      </c>
      <c r="AN32" s="12">
        <v>656.84249999999997</v>
      </c>
      <c r="AO32" s="10">
        <v>676.28499999999997</v>
      </c>
      <c r="AP32" s="10">
        <v>678.05</v>
      </c>
      <c r="AQ32" s="10">
        <v>680.932455</v>
      </c>
      <c r="AR32" s="10">
        <v>687.0951869999999</v>
      </c>
      <c r="AS32" s="10">
        <v>699.50206068971966</v>
      </c>
      <c r="AT32" s="10">
        <v>701.55020606897199</v>
      </c>
      <c r="AU32" s="10">
        <v>720.48550206068899</v>
      </c>
      <c r="AV32" s="10">
        <v>753.64541999999994</v>
      </c>
      <c r="AW32" s="10">
        <v>854.63752009999996</v>
      </c>
      <c r="AX32" s="13">
        <v>1050</v>
      </c>
      <c r="AY32" s="20">
        <v>1100</v>
      </c>
      <c r="AZ32" s="13">
        <v>1148.3</v>
      </c>
      <c r="BA32" s="20">
        <v>1183.5</v>
      </c>
      <c r="BB32" s="20">
        <v>1195.7480800000001</v>
      </c>
      <c r="BC32" s="20">
        <v>1200.412379848</v>
      </c>
      <c r="BD32" s="20">
        <v>1211.6993593872</v>
      </c>
      <c r="BE32" s="20">
        <v>1234.4224194653129</v>
      </c>
      <c r="BF32" s="20">
        <v>1236.8224194653101</v>
      </c>
      <c r="BG32" s="20">
        <v>1244.28822419465</v>
      </c>
      <c r="BH32" s="20">
        <v>1284.0208</v>
      </c>
      <c r="BI32" s="20">
        <v>1350</v>
      </c>
    </row>
    <row r="33" spans="1:61" x14ac:dyDescent="0.25">
      <c r="A33" s="17" t="s">
        <v>48</v>
      </c>
      <c r="B33" s="12">
        <v>126450</v>
      </c>
      <c r="C33" s="10">
        <v>126400</v>
      </c>
      <c r="D33" s="12">
        <v>128400</v>
      </c>
      <c r="E33" s="10">
        <v>130610</v>
      </c>
      <c r="F33" s="10">
        <v>130700</v>
      </c>
      <c r="G33" s="10">
        <v>131070.04</v>
      </c>
      <c r="H33" s="10">
        <v>131370.34</v>
      </c>
      <c r="I33" s="10">
        <v>131274.90696299999</v>
      </c>
      <c r="J33" s="10">
        <v>131575.94069630001</v>
      </c>
      <c r="K33" s="10">
        <v>131650.85521609601</v>
      </c>
      <c r="L33" s="10">
        <v>134564.58824000001</v>
      </c>
      <c r="M33" s="10">
        <v>230442.0594188</v>
      </c>
      <c r="N33" s="12">
        <v>8200</v>
      </c>
      <c r="O33" s="10">
        <v>8247.5900729999994</v>
      </c>
      <c r="P33" s="12">
        <v>8428.0900729999994</v>
      </c>
      <c r="Q33" s="10">
        <v>8506.3250608333001</v>
      </c>
      <c r="R33" s="10">
        <v>8580.1611555555592</v>
      </c>
      <c r="S33" s="10">
        <v>8590.9611555555603</v>
      </c>
      <c r="T33" s="10">
        <v>8598.9811555555607</v>
      </c>
      <c r="U33" s="10">
        <v>8685.1270997555603</v>
      </c>
      <c r="V33" s="10">
        <v>8686.3127099755493</v>
      </c>
      <c r="W33" s="10">
        <v>9200.1910355660002</v>
      </c>
      <c r="X33" s="10">
        <v>9268.4700580000008</v>
      </c>
      <c r="Y33" s="10">
        <v>9494.3614307600001</v>
      </c>
      <c r="Z33" s="12">
        <v>995.67594459999998</v>
      </c>
      <c r="AA33" s="10">
        <v>940</v>
      </c>
      <c r="AB33" s="12">
        <v>1000</v>
      </c>
      <c r="AC33" s="10">
        <v>860.20018458333334</v>
      </c>
      <c r="AD33" s="10">
        <v>902.154632666667</v>
      </c>
      <c r="AE33" s="10">
        <v>908.51546326666596</v>
      </c>
      <c r="AF33" s="10">
        <v>912.55546326666604</v>
      </c>
      <c r="AG33" s="10">
        <v>950.68883166666603</v>
      </c>
      <c r="AH33" s="10">
        <v>952.62888316666601</v>
      </c>
      <c r="AI33" s="10">
        <v>960.22653310296005</v>
      </c>
      <c r="AJ33" s="10">
        <v>983.20603000000006</v>
      </c>
      <c r="AK33" s="10">
        <v>1144.2557474299999</v>
      </c>
      <c r="AL33" s="12">
        <v>570.85769833333302</v>
      </c>
      <c r="AM33" s="10">
        <v>600.14369833333296</v>
      </c>
      <c r="AN33" s="12">
        <v>638.26775154316704</v>
      </c>
      <c r="AO33" s="10">
        <v>654.22444533174621</v>
      </c>
      <c r="AP33" s="10">
        <v>678.05</v>
      </c>
      <c r="AQ33" s="10">
        <v>680.95</v>
      </c>
      <c r="AR33" s="10">
        <v>685.98</v>
      </c>
      <c r="AS33" s="10">
        <v>696.10644630000002</v>
      </c>
      <c r="AT33" s="10">
        <v>698.41064462999998</v>
      </c>
      <c r="AU33" s="10">
        <v>720.47855020606801</v>
      </c>
      <c r="AV33" s="10">
        <v>776.89544000000001</v>
      </c>
      <c r="AW33" s="10">
        <v>876.39535960000001</v>
      </c>
      <c r="AX33" s="13">
        <v>1100</v>
      </c>
      <c r="AY33" s="20">
        <v>1150</v>
      </c>
      <c r="AZ33" s="13">
        <v>1048.3</v>
      </c>
      <c r="BA33" s="20">
        <v>1074.5074999999999</v>
      </c>
      <c r="BB33" s="20">
        <v>1095.2168079999999</v>
      </c>
      <c r="BC33" s="20">
        <v>1096.6621680799999</v>
      </c>
      <c r="BD33" s="20">
        <v>1098.76216808</v>
      </c>
      <c r="BE33" s="20">
        <v>1100.98990908</v>
      </c>
      <c r="BF33" s="20">
        <v>1106.98990908</v>
      </c>
      <c r="BG33" s="20">
        <v>1224.5628822419401</v>
      </c>
      <c r="BH33" s="20">
        <v>1250</v>
      </c>
      <c r="BI33" s="20">
        <v>1700</v>
      </c>
    </row>
    <row r="34" spans="1:61" x14ac:dyDescent="0.25">
      <c r="A34" s="17" t="s">
        <v>49</v>
      </c>
      <c r="B34" s="12">
        <v>130000</v>
      </c>
      <c r="C34" s="10">
        <v>132000</v>
      </c>
      <c r="D34" s="12">
        <v>133783.5</v>
      </c>
      <c r="E34" s="10">
        <v>157896.40437500001</v>
      </c>
      <c r="F34" s="10">
        <v>157988.116725</v>
      </c>
      <c r="G34" s="10">
        <v>152799.772937373</v>
      </c>
      <c r="H34" s="10">
        <v>156048.28176709401</v>
      </c>
      <c r="I34" s="10">
        <v>155017.09147167299</v>
      </c>
      <c r="J34" s="10">
        <v>155319.30914716699</v>
      </c>
      <c r="K34" s="10">
        <v>155750.585521609</v>
      </c>
      <c r="L34" s="10">
        <v>172846.8133373</v>
      </c>
      <c r="M34" s="10">
        <v>356992.11340577202</v>
      </c>
      <c r="N34" s="12">
        <v>4433.3333333333303</v>
      </c>
      <c r="O34" s="10">
        <v>4442.2222222222199</v>
      </c>
      <c r="P34" s="12">
        <v>4522.2222222222199</v>
      </c>
      <c r="Q34" s="10">
        <v>6088.8888888888896</v>
      </c>
      <c r="R34" s="10">
        <v>6109.8888888888896</v>
      </c>
      <c r="S34" s="10">
        <v>6143.8185444444498</v>
      </c>
      <c r="T34" s="10">
        <v>6189.5618400000003</v>
      </c>
      <c r="U34" s="10">
        <v>6282.0593579428787</v>
      </c>
      <c r="V34" s="10">
        <v>6285.2059357942799</v>
      </c>
      <c r="W34" s="10">
        <v>6399.7634191035504</v>
      </c>
      <c r="X34" s="10">
        <v>6754.2025450000001</v>
      </c>
      <c r="Y34" s="10">
        <v>8659.8530273249999</v>
      </c>
      <c r="Z34" s="12">
        <v>650</v>
      </c>
      <c r="AA34" s="10">
        <v>700</v>
      </c>
      <c r="AB34" s="12">
        <v>750</v>
      </c>
      <c r="AC34" s="10">
        <v>760</v>
      </c>
      <c r="AD34" s="10">
        <v>786.44186666666701</v>
      </c>
      <c r="AE34" s="10">
        <v>789.95781325333405</v>
      </c>
      <c r="AF34" s="10">
        <v>796.69706860800034</v>
      </c>
      <c r="AG34" s="10">
        <v>810.324516860671</v>
      </c>
      <c r="AH34" s="10">
        <v>813.35245168606696</v>
      </c>
      <c r="AI34" s="10">
        <v>820.45052265331003</v>
      </c>
      <c r="AJ34" s="10">
        <v>846.25391969999998</v>
      </c>
      <c r="AK34" s="10">
        <v>972.34913958749996</v>
      </c>
      <c r="AL34" s="12">
        <v>708.33333333333303</v>
      </c>
      <c r="AM34" s="10">
        <v>716.66666666666697</v>
      </c>
      <c r="AN34" s="12">
        <v>726.87833333333299</v>
      </c>
      <c r="AO34" s="10">
        <v>736.18166666666696</v>
      </c>
      <c r="AP34" s="10">
        <v>778.05</v>
      </c>
      <c r="AQ34" s="10">
        <v>780.46440500000006</v>
      </c>
      <c r="AR34" s="10">
        <v>788.19577199999992</v>
      </c>
      <c r="AS34" s="10">
        <v>803.82936921069961</v>
      </c>
      <c r="AT34" s="10">
        <v>807.48293692106995</v>
      </c>
      <c r="AU34" s="10">
        <v>820.61478550206004</v>
      </c>
      <c r="AV34" s="10">
        <v>875.65695000000005</v>
      </c>
      <c r="AW34" s="10">
        <v>1090.54426025</v>
      </c>
      <c r="AX34" s="13">
        <v>4600</v>
      </c>
      <c r="AY34" s="20">
        <v>4655</v>
      </c>
      <c r="AZ34" s="13">
        <v>5000</v>
      </c>
      <c r="BA34" s="20">
        <v>5465</v>
      </c>
      <c r="BB34" s="20">
        <v>5495.6508080000003</v>
      </c>
      <c r="BC34" s="20">
        <v>5562.1481827768002</v>
      </c>
      <c r="BD34" s="20">
        <v>5567.3140945363202</v>
      </c>
      <c r="BE34" s="20">
        <v>5877.7600847052499</v>
      </c>
      <c r="BF34" s="20">
        <v>5887.7760084705196</v>
      </c>
      <c r="BG34" s="20">
        <v>6425.5628822419403</v>
      </c>
      <c r="BH34" s="20">
        <v>6513.8285500000002</v>
      </c>
      <c r="BI34" s="20">
        <v>6830.4089887500004</v>
      </c>
    </row>
    <row r="35" spans="1:61" x14ac:dyDescent="0.25">
      <c r="A35" s="17" t="s">
        <v>50</v>
      </c>
      <c r="B35" s="12">
        <v>127150</v>
      </c>
      <c r="C35" s="10">
        <v>127200</v>
      </c>
      <c r="D35" s="12">
        <v>128000</v>
      </c>
      <c r="E35" s="10">
        <v>128450</v>
      </c>
      <c r="F35" s="10">
        <v>128650</v>
      </c>
      <c r="G35" s="10">
        <v>128765.56664999999</v>
      </c>
      <c r="H35" s="10">
        <v>128917.7596</v>
      </c>
      <c r="I35" s="10">
        <v>128525.508964195</v>
      </c>
      <c r="J35" s="10">
        <v>128226.520896419</v>
      </c>
      <c r="K35" s="10">
        <v>129450.843520896</v>
      </c>
      <c r="L35" s="10">
        <v>130450</v>
      </c>
      <c r="M35" s="10">
        <v>245000</v>
      </c>
      <c r="N35" s="12">
        <v>6915</v>
      </c>
      <c r="O35" s="10">
        <v>6960</v>
      </c>
      <c r="P35" s="12">
        <v>6950</v>
      </c>
      <c r="Q35" s="10">
        <v>6970</v>
      </c>
      <c r="R35" s="10">
        <v>6992</v>
      </c>
      <c r="S35" s="10">
        <v>7092.8460320000004</v>
      </c>
      <c r="T35" s="10">
        <v>7100.1175679999997</v>
      </c>
      <c r="U35" s="10">
        <v>7214.8213409456002</v>
      </c>
      <c r="V35" s="10">
        <v>7216.8021340945597</v>
      </c>
      <c r="W35" s="10">
        <v>7446.2380213409397</v>
      </c>
      <c r="X35" s="10">
        <v>7565.3755199999996</v>
      </c>
      <c r="Y35" s="10">
        <v>8730.6026536000008</v>
      </c>
      <c r="Z35" s="12">
        <v>700</v>
      </c>
      <c r="AA35" s="10">
        <v>750</v>
      </c>
      <c r="AB35" s="12">
        <v>800</v>
      </c>
      <c r="AC35" s="10">
        <v>830</v>
      </c>
      <c r="AD35" s="10">
        <v>860</v>
      </c>
      <c r="AE35" s="10">
        <v>870.10406</v>
      </c>
      <c r="AF35" s="10">
        <v>876.12144000000001</v>
      </c>
      <c r="AG35" s="10">
        <v>888.28918409799996</v>
      </c>
      <c r="AH35" s="10">
        <v>889.62891840980001</v>
      </c>
      <c r="AI35" s="10">
        <v>895.55628918409798</v>
      </c>
      <c r="AJ35" s="10">
        <v>899.13113680000004</v>
      </c>
      <c r="AK35" s="10">
        <v>935.15838539599997</v>
      </c>
      <c r="AL35" s="12">
        <v>475</v>
      </c>
      <c r="AM35" s="10">
        <v>400</v>
      </c>
      <c r="AN35" s="12">
        <v>480</v>
      </c>
      <c r="AO35" s="10">
        <v>500</v>
      </c>
      <c r="AP35" s="10">
        <v>546</v>
      </c>
      <c r="AQ35" s="10">
        <v>560.06606599999998</v>
      </c>
      <c r="AR35" s="10">
        <v>566.71198400000003</v>
      </c>
      <c r="AS35" s="10">
        <v>580.15069478780015</v>
      </c>
      <c r="AT35" s="10">
        <v>583.31506947877995</v>
      </c>
      <c r="AU35" s="10">
        <v>600.33315069478704</v>
      </c>
      <c r="AV35" s="10">
        <v>603.63887454999997</v>
      </c>
      <c r="AW35" s="10">
        <v>670.75667749725005</v>
      </c>
      <c r="AX35" s="13">
        <v>1200</v>
      </c>
      <c r="AY35" s="20">
        <v>1500</v>
      </c>
      <c r="AZ35" s="13">
        <v>1524.15</v>
      </c>
      <c r="BA35" s="20">
        <v>1550</v>
      </c>
      <c r="BB35" s="20">
        <v>1568</v>
      </c>
      <c r="BC35" s="20">
        <v>1578.1897280000001</v>
      </c>
      <c r="BD35" s="20">
        <v>1579.044672</v>
      </c>
      <c r="BE35" s="20">
        <v>1586.7734542624</v>
      </c>
      <c r="BF35" s="20">
        <v>1587.7573454262399</v>
      </c>
      <c r="BG35" s="20">
        <v>1614.0875734542601</v>
      </c>
      <c r="BH35" s="20">
        <v>1634.0875734542601</v>
      </c>
      <c r="BI35" s="20">
        <v>1764.0875734542601</v>
      </c>
    </row>
    <row r="36" spans="1:61" x14ac:dyDescent="0.25">
      <c r="A36" s="17" t="s">
        <v>51</v>
      </c>
      <c r="B36" s="12">
        <v>127850</v>
      </c>
      <c r="C36" s="10">
        <v>127880</v>
      </c>
      <c r="D36" s="12">
        <v>128350</v>
      </c>
      <c r="E36" s="10">
        <v>128450</v>
      </c>
      <c r="F36" s="10">
        <v>128509</v>
      </c>
      <c r="G36" s="10">
        <v>128735.98689</v>
      </c>
      <c r="H36" s="10">
        <v>128938.6084736</v>
      </c>
      <c r="I36" s="10">
        <v>128647.853158845</v>
      </c>
      <c r="J36" s="10">
        <v>128548.805315884</v>
      </c>
      <c r="K36" s="10">
        <v>130000.458053158</v>
      </c>
      <c r="L36" s="10">
        <v>132000.45805315801</v>
      </c>
      <c r="M36" s="10">
        <v>230000.45805315801</v>
      </c>
      <c r="N36" s="12">
        <v>6160</v>
      </c>
      <c r="O36" s="10">
        <v>6200</v>
      </c>
      <c r="P36" s="12">
        <v>6428.8</v>
      </c>
      <c r="Q36" s="10">
        <v>6927.4560000000001</v>
      </c>
      <c r="R36" s="10">
        <v>6979.3524799999996</v>
      </c>
      <c r="S36" s="10">
        <v>6980.8181440208</v>
      </c>
      <c r="T36" s="10">
        <v>7030.9605228113896</v>
      </c>
      <c r="U36" s="10">
        <v>7082.6623295823665</v>
      </c>
      <c r="V36" s="10">
        <v>7086.6062329582301</v>
      </c>
      <c r="W36" s="10">
        <v>7156.9760623295797</v>
      </c>
      <c r="X36" s="10">
        <v>7186.6719199999998</v>
      </c>
      <c r="Y36" s="10">
        <v>7660.6054899999999</v>
      </c>
      <c r="Z36" s="12">
        <v>1184</v>
      </c>
      <c r="AA36" s="10">
        <v>1188</v>
      </c>
      <c r="AB36" s="12">
        <v>1190</v>
      </c>
      <c r="AC36" s="10">
        <v>1194</v>
      </c>
      <c r="AD36" s="10">
        <v>1210</v>
      </c>
      <c r="AE36" s="10">
        <v>1230.2541000000001</v>
      </c>
      <c r="AF36" s="10">
        <v>1250.2787840000001</v>
      </c>
      <c r="AG36" s="10">
        <v>1270.9262356724</v>
      </c>
      <c r="AH36" s="10">
        <v>1275.90262356724</v>
      </c>
      <c r="AI36" s="10">
        <v>1238.1990262356701</v>
      </c>
      <c r="AJ36" s="10">
        <v>1247.2793160000001</v>
      </c>
      <c r="AK36" s="10">
        <v>1386.9313050200001</v>
      </c>
      <c r="AL36" s="12">
        <v>770</v>
      </c>
      <c r="AM36" s="10">
        <v>775</v>
      </c>
      <c r="AN36" s="12">
        <v>780</v>
      </c>
      <c r="AO36" s="10">
        <v>762.09300000000007</v>
      </c>
      <c r="AP36" s="10">
        <v>788.77439000000004</v>
      </c>
      <c r="AQ36" s="10">
        <v>789.94003262189995</v>
      </c>
      <c r="AR36" s="10">
        <v>792.95612361945598</v>
      </c>
      <c r="AS36" s="10">
        <v>796.06601504703599</v>
      </c>
      <c r="AT36" s="10">
        <v>797.20660150470303</v>
      </c>
      <c r="AU36" s="10">
        <v>805.87206601504704</v>
      </c>
      <c r="AV36" s="10">
        <v>837.92757500000005</v>
      </c>
      <c r="AW36" s="10">
        <v>866.22932712500005</v>
      </c>
      <c r="AX36" s="13">
        <v>850</v>
      </c>
      <c r="AY36" s="20">
        <v>855</v>
      </c>
      <c r="AZ36" s="13">
        <v>858</v>
      </c>
      <c r="BA36" s="20">
        <v>850</v>
      </c>
      <c r="BB36" s="20">
        <v>888</v>
      </c>
      <c r="BC36" s="20">
        <v>888.18648000000007</v>
      </c>
      <c r="BD36" s="20">
        <v>898.20459519999997</v>
      </c>
      <c r="BE36" s="20">
        <v>908.53427378271988</v>
      </c>
      <c r="BF36" s="20">
        <v>910.50342737827202</v>
      </c>
      <c r="BG36" s="20">
        <v>946.76550342737801</v>
      </c>
      <c r="BH36" s="20">
        <v>966.76550342737801</v>
      </c>
      <c r="BI36" s="20">
        <v>1046.76550342737</v>
      </c>
    </row>
    <row r="37" spans="1:61" x14ac:dyDescent="0.25">
      <c r="A37" s="17" t="s">
        <v>52</v>
      </c>
      <c r="B37" s="12">
        <v>129700</v>
      </c>
      <c r="C37" s="10">
        <v>130200</v>
      </c>
      <c r="D37" s="12">
        <v>128500</v>
      </c>
      <c r="E37" s="10">
        <v>132355</v>
      </c>
      <c r="F37" s="10">
        <v>132509</v>
      </c>
      <c r="G37" s="10">
        <v>133437.44889999999</v>
      </c>
      <c r="H37" s="10">
        <v>133462.00735999999</v>
      </c>
      <c r="I37" s="10">
        <v>133387.32958810599</v>
      </c>
      <c r="J37" s="10">
        <v>133289.30295881</v>
      </c>
      <c r="K37" s="10">
        <v>130862.5</v>
      </c>
      <c r="L37" s="10">
        <v>135406.45499999999</v>
      </c>
      <c r="M37" s="10">
        <v>207998.58567500001</v>
      </c>
      <c r="N37" s="12">
        <v>7350</v>
      </c>
      <c r="O37" s="10">
        <v>7400</v>
      </c>
      <c r="P37" s="12">
        <v>7450</v>
      </c>
      <c r="Q37" s="10">
        <v>7600</v>
      </c>
      <c r="R37" s="10">
        <v>7679.3524799999996</v>
      </c>
      <c r="S37" s="10">
        <v>7789.0661698080003</v>
      </c>
      <c r="T37" s="10">
        <v>7856.284761139199</v>
      </c>
      <c r="U37" s="10">
        <v>7889.5938506607999</v>
      </c>
      <c r="V37" s="10">
        <v>7930.5093850660796</v>
      </c>
      <c r="W37" s="10">
        <v>7958.921765305</v>
      </c>
      <c r="X37" s="10">
        <v>7969.9612726332998</v>
      </c>
      <c r="Y37" s="10">
        <v>8033.1516769812997</v>
      </c>
      <c r="Z37" s="12">
        <v>845</v>
      </c>
      <c r="AA37" s="10">
        <v>850</v>
      </c>
      <c r="AB37" s="12">
        <v>855</v>
      </c>
      <c r="AC37" s="10">
        <v>900</v>
      </c>
      <c r="AD37" s="10">
        <v>920</v>
      </c>
      <c r="AE37" s="10">
        <v>940.33199999999999</v>
      </c>
      <c r="AF37" s="10">
        <v>945.19680000000005</v>
      </c>
      <c r="AG37" s="10">
        <v>950.87621289527999</v>
      </c>
      <c r="AH37" s="10">
        <v>951.80762128952802</v>
      </c>
      <c r="AI37" s="10">
        <v>968.76271999999994</v>
      </c>
      <c r="AJ37" s="10">
        <v>1033.4881456000001</v>
      </c>
      <c r="AK37" s="10">
        <v>1478.3668215279999</v>
      </c>
      <c r="AL37" s="12">
        <v>736.25</v>
      </c>
      <c r="AM37" s="10">
        <v>746.25</v>
      </c>
      <c r="AN37" s="12">
        <v>755.14800000000002</v>
      </c>
      <c r="AO37" s="10">
        <v>780</v>
      </c>
      <c r="AP37" s="10">
        <v>800.77439000000004</v>
      </c>
      <c r="AQ37" s="10">
        <v>820.47150401900001</v>
      </c>
      <c r="AR37" s="10">
        <v>828.22423194559997</v>
      </c>
      <c r="AS37" s="10">
        <v>836.21806971071703</v>
      </c>
      <c r="AT37" s="10">
        <v>848.20180697107105</v>
      </c>
      <c r="AU37" s="10">
        <v>894.88137500000005</v>
      </c>
      <c r="AV37" s="10">
        <v>898.35409125000001</v>
      </c>
      <c r="AW37" s="10">
        <v>953.70023729369996</v>
      </c>
      <c r="AX37" s="13">
        <v>920</v>
      </c>
      <c r="AY37" s="20">
        <v>930</v>
      </c>
      <c r="AZ37" s="13">
        <v>935</v>
      </c>
      <c r="BA37" s="20">
        <v>950</v>
      </c>
      <c r="BB37" s="20">
        <v>997</v>
      </c>
      <c r="BC37" s="20">
        <v>1000.0337</v>
      </c>
      <c r="BD37" s="20">
        <v>1019.97088</v>
      </c>
      <c r="BE37" s="20">
        <v>1025.528106298</v>
      </c>
      <c r="BF37" s="20">
        <v>1043.5028106298</v>
      </c>
      <c r="BG37" s="20">
        <v>1075.82750281062</v>
      </c>
      <c r="BH37" s="20">
        <v>1175.82750281062</v>
      </c>
      <c r="BI37" s="20">
        <v>1370.82750281062</v>
      </c>
    </row>
    <row r="38" spans="1:61" x14ac:dyDescent="0.25">
      <c r="A38" s="17" t="s">
        <v>53</v>
      </c>
      <c r="B38" s="12">
        <v>127000</v>
      </c>
      <c r="C38" s="10">
        <v>126500</v>
      </c>
      <c r="D38" s="12">
        <v>128000.5</v>
      </c>
      <c r="E38" s="10">
        <v>134400.52499999999</v>
      </c>
      <c r="F38" s="10">
        <v>134529</v>
      </c>
      <c r="G38" s="10">
        <v>134902.54109000001</v>
      </c>
      <c r="H38" s="10">
        <v>137628.54816000001</v>
      </c>
      <c r="I38" s="10">
        <v>137650.33404987701</v>
      </c>
      <c r="J38" s="10">
        <v>137015.303404987</v>
      </c>
      <c r="K38" s="10">
        <v>137155.303404987</v>
      </c>
      <c r="L38" s="10">
        <v>137455.303404987</v>
      </c>
      <c r="M38" s="10">
        <v>175000</v>
      </c>
      <c r="N38" s="12">
        <v>7557.5</v>
      </c>
      <c r="O38" s="10">
        <v>7612.5</v>
      </c>
      <c r="P38" s="12">
        <v>7680</v>
      </c>
      <c r="Q38" s="10">
        <v>8005.8912857142896</v>
      </c>
      <c r="R38" s="10">
        <v>8079.3524799999996</v>
      </c>
      <c r="S38" s="10">
        <v>8088.8426688208001</v>
      </c>
      <c r="T38" s="10">
        <v>8095.5007611392002</v>
      </c>
      <c r="U38" s="10">
        <v>8100.3659201287001</v>
      </c>
      <c r="V38" s="10">
        <v>8104.3065920128702</v>
      </c>
      <c r="W38" s="10">
        <v>8180.1169650000002</v>
      </c>
      <c r="X38" s="10">
        <v>8366.2838669499997</v>
      </c>
      <c r="Y38" s="10">
        <v>9479.3690526648006</v>
      </c>
      <c r="Z38" s="12">
        <v>1140</v>
      </c>
      <c r="AA38" s="10">
        <v>1145</v>
      </c>
      <c r="AB38" s="12">
        <v>1150</v>
      </c>
      <c r="AC38" s="10">
        <v>1170.6666666666599</v>
      </c>
      <c r="AD38" s="10">
        <v>1220</v>
      </c>
      <c r="AE38" s="10">
        <v>1242.4562000000001</v>
      </c>
      <c r="AF38" s="10">
        <v>1248.1088</v>
      </c>
      <c r="AG38" s="10">
        <v>1253.93719586</v>
      </c>
      <c r="AH38" s="10">
        <v>1254.9037195860001</v>
      </c>
      <c r="AI38" s="10">
        <v>1255.7883899999999</v>
      </c>
      <c r="AJ38" s="10">
        <v>1245.7897197</v>
      </c>
      <c r="AK38" s="10">
        <v>1385.2728613105</v>
      </c>
      <c r="AL38" s="12">
        <v>523.75</v>
      </c>
      <c r="AM38" s="10">
        <v>537.5</v>
      </c>
      <c r="AN38" s="12">
        <v>540.43375000000003</v>
      </c>
      <c r="AO38" s="10">
        <v>550</v>
      </c>
      <c r="AP38" s="10">
        <v>588.77439000000004</v>
      </c>
      <c r="AQ38" s="10">
        <v>600.78577652189995</v>
      </c>
      <c r="AR38" s="10">
        <v>602.33975194560003</v>
      </c>
      <c r="AS38" s="10">
        <v>633.94205600497696</v>
      </c>
      <c r="AT38" s="10">
        <v>635.90420560049699</v>
      </c>
      <c r="AU38" s="10">
        <v>760.1498775</v>
      </c>
      <c r="AV38" s="10">
        <v>800.59434932500005</v>
      </c>
      <c r="AW38" s="10">
        <v>923.02719338739996</v>
      </c>
      <c r="AX38" s="13">
        <v>830</v>
      </c>
      <c r="AY38" s="20">
        <v>850</v>
      </c>
      <c r="AZ38" s="13">
        <v>864.15</v>
      </c>
      <c r="BA38" s="20">
        <v>880</v>
      </c>
      <c r="BB38" s="20">
        <v>897</v>
      </c>
      <c r="BC38" s="20">
        <v>906.15836999999999</v>
      </c>
      <c r="BD38" s="20">
        <v>917.66687999999999</v>
      </c>
      <c r="BE38" s="20">
        <v>930.53330466099999</v>
      </c>
      <c r="BF38" s="20">
        <v>935.50333046610001</v>
      </c>
      <c r="BG38" s="20">
        <v>968.96</v>
      </c>
      <c r="BH38" s="20">
        <v>1214.0208</v>
      </c>
      <c r="BI38" s="20">
        <v>1460.9443679999999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 January 2025</vt:lpstr>
      <vt:lpstr>State 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 Onuorah</dc:creator>
  <cp:lastModifiedBy>Adedolapo Adeusi</cp:lastModifiedBy>
  <dcterms:created xsi:type="dcterms:W3CDTF">2024-07-18T12:01:19Z</dcterms:created>
  <dcterms:modified xsi:type="dcterms:W3CDTF">2026-05-26T15:29:02Z</dcterms:modified>
</cp:coreProperties>
</file>