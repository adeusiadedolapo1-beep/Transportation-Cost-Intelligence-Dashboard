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EOINFOTECH\Documents\Cost of living map\Nigeria_Inflation_Project\Data\Raw\PMS NOVEMBER  2024-MARCH-2026\2026\"/>
    </mc:Choice>
  </mc:AlternateContent>
  <xr:revisionPtr revIDLastSave="0" documentId="13_ncr:1_{87E0433F-DC07-409F-93D3-12A10721EC79}" xr6:coauthVersionLast="36" xr6:coauthVersionMax="36" xr10:uidLastSave="{00000000-0000-0000-0000-000000000000}"/>
  <bookViews>
    <workbookView xWindow="0" yWindow="0" windowWidth="16812" windowHeight="7752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chart.v1.10" hidden="1">Sheet3!$H$10</definedName>
    <definedName name="_xlchart.v1.11" hidden="1">Sheet3!$I$10:$J$10</definedName>
    <definedName name="_xlchart.v1.12" hidden="1">Sheet3!$I$9:$J$9</definedName>
    <definedName name="_xlchart.v1.13" hidden="1">Sheet3!$H$10</definedName>
    <definedName name="_xlchart.v1.14" hidden="1">Sheet3!$I$10:$J$10</definedName>
    <definedName name="_xlchart.v1.15" hidden="1">Sheet3!$I$9:$J$9</definedName>
    <definedName name="_xlchart.v1.16" hidden="1">Sheet3!$H$10</definedName>
    <definedName name="_xlchart.v1.17" hidden="1">Sheet3!$I$10:$J$10</definedName>
    <definedName name="_xlchart.v1.18" hidden="1">Sheet3!$I$9:$J$9</definedName>
    <definedName name="_xlchart.v1.19" hidden="1">Sheet3!$H$10</definedName>
    <definedName name="_xlchart.v1.20" hidden="1">Sheet3!$I$10:$J$10</definedName>
    <definedName name="_xlchart.v1.21" hidden="1">Sheet3!$I$9:$J$9</definedName>
    <definedName name="_xlchart.v1.22" hidden="1">Sheet3!$H$10</definedName>
    <definedName name="_xlchart.v1.23" hidden="1">Sheet3!$I$10:$J$10</definedName>
    <definedName name="_xlchart.v1.24" hidden="1">Sheet3!$I$9:$J$9</definedName>
    <definedName name="_xlchart.v1.25" hidden="1">Sheet3!$H$10</definedName>
    <definedName name="_xlchart.v1.26" hidden="1">Sheet3!$I$10:$J$10</definedName>
    <definedName name="_xlchart.v1.27" hidden="1">Sheet3!$I$9:$J$9</definedName>
    <definedName name="_xlchart.v1.4" hidden="1">Sheet2!$H$30</definedName>
    <definedName name="_xlchart.v1.5" hidden="1">Sheet2!$I$29:$J$29</definedName>
    <definedName name="_xlchart.v1.6" hidden="1">Sheet2!$I$30:$J$30</definedName>
    <definedName name="_xlchart.v1.7" hidden="1">Sheet3!$H$10</definedName>
    <definedName name="_xlchart.v1.8" hidden="1">Sheet3!$I$10:$J$10</definedName>
    <definedName name="_xlchart.v1.9" hidden="1">Sheet3!$I$9:$J$9</definedName>
    <definedName name="_xlchart.v5.0" hidden="1">Sheet1!$A$1</definedName>
    <definedName name="_xlchart.v5.1" hidden="1">Sheet1!$A$2:$A$39</definedName>
    <definedName name="_xlchart.v5.2" hidden="1">Sheet1!$B$1</definedName>
    <definedName name="_xlchart.v5.28" hidden="1">Sheet4!$A$1</definedName>
    <definedName name="_xlchart.v5.29" hidden="1">Sheet4!$A$2:$A$39</definedName>
    <definedName name="_xlchart.v5.3" hidden="1">Sheet1!$B$2:$B$39</definedName>
    <definedName name="_xlchart.v5.30" hidden="1">Sheet4!$B$1</definedName>
    <definedName name="_xlchart.v5.31" hidden="1">Sheet4!$B$2:$B$39</definedName>
    <definedName name="_xlchart.v5.32" hidden="1">Sheet4!$A$1</definedName>
    <definedName name="_xlchart.v5.33" hidden="1">Sheet4!$A$2:$A$39</definedName>
    <definedName name="_xlchart.v5.34" hidden="1">Sheet4!$B$1</definedName>
    <definedName name="_xlchart.v5.35" hidden="1">Sheet4!$B$2:$B$39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3" l="1"/>
  <c r="C39" i="2" l="1"/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<sst xmlns="http://schemas.openxmlformats.org/spreadsheetml/2006/main" count="180" uniqueCount="47">
  <si>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</si>
  <si>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</si>
  <si>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</si>
  <si>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</si>
  <si>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</si>
  <si>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</si>
  <si>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</si>
  <si>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</si>
  <si>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</si>
  <si>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</si>
  <si>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</si>
  <si>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</si>
  <si>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</si>
  <si>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</si>
  <si>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</si>
  <si>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</si>
  <si>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</si>
  <si>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</si>
  <si>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</si>
  <si>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</si>
  <si>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</si>
  <si>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</si>
  <si>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</si>
  <si>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</si>
  <si>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</si>
  <si>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</si>
  <si>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</si>
  <si>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</si>
  <si>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</si>
  <si>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</si>
  <si>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</si>
  <si>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</si>
  <si>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</si>
  <si>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</si>
  <si>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</si>
  <si>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</si>
  <si>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January</t>
  </si>
  <si>
    <t>NAME_1</t>
  </si>
  <si>
    <t>February</t>
  </si>
  <si>
    <t>March</t>
  </si>
  <si>
    <t>Federal Capital Territory</t>
  </si>
  <si>
    <t>Average</t>
  </si>
  <si>
    <t>Bus journey within  city (January)</t>
  </si>
  <si>
    <t>PMS</t>
  </si>
  <si>
    <t>Transport Cost</t>
  </si>
  <si>
    <t>Bus journey within  city (Februaury)</t>
  </si>
  <si>
    <t>Bus journey within  city (March)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</si>
</sst>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17" fontId="3" fillId="2" borderId="2" xfId="0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/>
    </xf>
    <xf numFmtId="2" fontId="6" fillId="0" borderId="4" xfId="1" applyNumberFormat="1" applyFont="1" applyBorder="1" applyAlignment="1">
      <alignment horizontal="right" wrapText="1"/>
    </xf>
    <xf numFmtId="0" fontId="4" fillId="0" borderId="5" xfId="0" applyFont="1" applyFill="1" applyBorder="1" applyAlignment="1">
      <alignment horizontal="left" vertical="center"/>
    </xf>
    <xf numFmtId="2" fontId="6" fillId="0" borderId="6" xfId="1" applyNumberFormat="1" applyFont="1" applyFill="1" applyBorder="1" applyAlignment="1">
      <alignment horizontal="right" wrapText="1"/>
    </xf>
    <xf numFmtId="2" fontId="6" fillId="0" borderId="7" xfId="1" applyNumberFormat="1" applyFont="1" applyFill="1" applyBorder="1" applyAlignment="1">
      <alignment horizontal="right" wrapText="1"/>
    </xf>
    <xf numFmtId="0" fontId="7" fillId="3" borderId="2" xfId="2" applyFont="1" applyFill="1" applyBorder="1" applyAlignment="1">
      <alignment wrapText="1"/>
    </xf>
    <xf numFmtId="2" fontId="8" fillId="0" borderId="2" xfId="0" applyNumberFormat="1" applyFont="1" applyBorder="1"/>
    <xf numFmtId="0" fontId="1" fillId="0" borderId="0" xfId="2"/>
    <xf numFmtId="2" fontId="1" fillId="0" borderId="0" xfId="2" applyNumberFormat="1"/>
  </cellXfs>
  <cellStyles count="3">
    <cellStyle name="Normal" xfId="0" builtinId="0"/>
    <cellStyle name="Normal 3" xfId="2" xr:uid="{00000000-0005-0000-0000-000001000000}"/>
    <cellStyle name="Normal_Sheet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Sheet1!$A$2:$A$39</c:f>
              <c:strCache>
                <c:ptCount val="38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  <c:pt idx="37">
                  <c:v>Average</c:v>
                </c:pt>
              </c:strCache>
            </c:strRef>
          </c:cat>
          <c:val>
            <c:numRef>
              <c:f>Sheet1!$B$2:$B$39</c:f>
              <c:numCache>
                <c:formatCode>0.00</c:formatCode>
                <c:ptCount val="38"/>
                <c:pt idx="0">
                  <c:v>1054.25</c:v>
                </c:pt>
                <c:pt idx="1">
                  <c:v>959.61129166666672</c:v>
                </c:pt>
                <c:pt idx="2">
                  <c:v>1090.1947916666668</c:v>
                </c:pt>
                <c:pt idx="3">
                  <c:v>1112.7822536091116</c:v>
                </c:pt>
                <c:pt idx="4">
                  <c:v>980.79375000000005</c:v>
                </c:pt>
                <c:pt idx="5">
                  <c:v>967.00610555555556</c:v>
                </c:pt>
                <c:pt idx="6">
                  <c:v>968.88750000000005</c:v>
                </c:pt>
                <c:pt idx="7">
                  <c:v>1059.49</c:v>
                </c:pt>
                <c:pt idx="8">
                  <c:v>1079.5</c:v>
                </c:pt>
                <c:pt idx="9">
                  <c:v>1171.765185114841</c:v>
                </c:pt>
                <c:pt idx="10">
                  <c:v>1012.4313442728118</c:v>
                </c:pt>
                <c:pt idx="11">
                  <c:v>1065.8506714285716</c:v>
                </c:pt>
                <c:pt idx="12">
                  <c:v>1029.45</c:v>
                </c:pt>
                <c:pt idx="13">
                  <c:v>946.90090967871424</c:v>
                </c:pt>
                <c:pt idx="14">
                  <c:v>946.91616666666653</c:v>
                </c:pt>
                <c:pt idx="15">
                  <c:v>1016.8226789622222</c:v>
                </c:pt>
                <c:pt idx="16">
                  <c:v>1085.8726891178571</c:v>
                </c:pt>
                <c:pt idx="17">
                  <c:v>983.45983285619138</c:v>
                </c:pt>
                <c:pt idx="18">
                  <c:v>947</c:v>
                </c:pt>
                <c:pt idx="19">
                  <c:v>1014.3976810673672</c:v>
                </c:pt>
                <c:pt idx="20">
                  <c:v>1035.8349583333334</c:v>
                </c:pt>
                <c:pt idx="21">
                  <c:v>1042.8995413802099</c:v>
                </c:pt>
                <c:pt idx="22">
                  <c:v>960</c:v>
                </c:pt>
                <c:pt idx="23">
                  <c:v>1109.1572490111942</c:v>
                </c:pt>
                <c:pt idx="24">
                  <c:v>1026.10526907287</c:v>
                </c:pt>
                <c:pt idx="25">
                  <c:v>1149.1342781461683</c:v>
                </c:pt>
                <c:pt idx="26">
                  <c:v>983.50650474999998</c:v>
                </c:pt>
                <c:pt idx="27">
                  <c:v>995.65770644023632</c:v>
                </c:pt>
                <c:pt idx="28">
                  <c:v>1036.6688796505362</c:v>
                </c:pt>
                <c:pt idx="29">
                  <c:v>1037.3764624716425</c:v>
                </c:pt>
                <c:pt idx="30">
                  <c:v>1013.1016032</c:v>
                </c:pt>
                <c:pt idx="31">
                  <c:v>1077.1600000000001</c:v>
                </c:pt>
                <c:pt idx="32">
                  <c:v>1160.91714</c:v>
                </c:pt>
                <c:pt idx="33">
                  <c:v>1019.311709859084</c:v>
                </c:pt>
                <c:pt idx="34">
                  <c:v>1048.4107509999999</c:v>
                </c:pt>
                <c:pt idx="35">
                  <c:v>1050.7736628333334</c:v>
                </c:pt>
                <c:pt idx="36">
                  <c:v>1046.56769610574</c:v>
                </c:pt>
                <c:pt idx="37">
                  <c:v>1033.4059999999999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B-49C2-B755-FFBB607BEF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Sheet1!$A$2:$A$39</c:f>
              <c:strCache>
                <c:ptCount val="38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  <c:pt idx="37">
                  <c:v>Average</c:v>
                </c:pt>
              </c:strCache>
            </c:strRef>
          </c:cat>
          <c:val>
            <c:numRef>
              <c:f>Sheet1!$C$2:$C$39</c:f>
              <c:numCache>
                <c:formatCode>0.00</c:formatCode>
                <c:ptCount val="38"/>
                <c:pt idx="0">
                  <c:v>1095.1941456475688</c:v>
                </c:pt>
                <c:pt idx="1">
                  <c:v>1006.32984760697</c:v>
                </c:pt>
                <c:pt idx="2">
                  <c:v>1096.6324641309066</c:v>
                </c:pt>
                <c:pt idx="3">
                  <c:v>1109.4363411565614</c:v>
                </c:pt>
                <c:pt idx="4">
                  <c:v>1077.5079924242414</c:v>
                </c:pt>
                <c:pt idx="5">
                  <c:v>1005.45175870677</c:v>
                </c:pt>
                <c:pt idx="6">
                  <c:v>1050.0274999999999</c:v>
                </c:pt>
                <c:pt idx="7">
                  <c:v>1069.3971361925801</c:v>
                </c:pt>
                <c:pt idx="8">
                  <c:v>1108.0850239171796</c:v>
                </c:pt>
                <c:pt idx="9">
                  <c:v>1068.606344432329</c:v>
                </c:pt>
                <c:pt idx="10">
                  <c:v>1023.8071483574723</c:v>
                </c:pt>
                <c:pt idx="11">
                  <c:v>1095.6565671715173</c:v>
                </c:pt>
                <c:pt idx="12">
                  <c:v>1055.3399999999999</c:v>
                </c:pt>
                <c:pt idx="13">
                  <c:v>1015.7126408420496</c:v>
                </c:pt>
                <c:pt idx="14">
                  <c:v>1008.7965189105699</c:v>
                </c:pt>
                <c:pt idx="15">
                  <c:v>1106.0449880536501</c:v>
                </c:pt>
                <c:pt idx="16">
                  <c:v>1016.586025415284</c:v>
                </c:pt>
                <c:pt idx="17">
                  <c:v>1068.9572309156815</c:v>
                </c:pt>
                <c:pt idx="18">
                  <c:v>1000.0666666666666</c:v>
                </c:pt>
                <c:pt idx="19">
                  <c:v>1032.4446482783387</c:v>
                </c:pt>
                <c:pt idx="20">
                  <c:v>1009.56085349024</c:v>
                </c:pt>
                <c:pt idx="21">
                  <c:v>1047.7039807835356</c:v>
                </c:pt>
                <c:pt idx="22">
                  <c:v>1002</c:v>
                </c:pt>
                <c:pt idx="23">
                  <c:v>1064.6276672387444</c:v>
                </c:pt>
                <c:pt idx="24">
                  <c:v>966.60965193062839</c:v>
                </c:pt>
                <c:pt idx="25">
                  <c:v>1042.6815218774004</c:v>
                </c:pt>
                <c:pt idx="26">
                  <c:v>1072.6494935481323</c:v>
                </c:pt>
                <c:pt idx="27">
                  <c:v>1029.6665876407706</c:v>
                </c:pt>
                <c:pt idx="28">
                  <c:v>1071.5644526898609</c:v>
                </c:pt>
                <c:pt idx="29">
                  <c:v>1086.3613159424251</c:v>
                </c:pt>
                <c:pt idx="30">
                  <c:v>973.44872962790305</c:v>
                </c:pt>
                <c:pt idx="31">
                  <c:v>1051.727557265312</c:v>
                </c:pt>
                <c:pt idx="32">
                  <c:v>1030.7429628275222</c:v>
                </c:pt>
                <c:pt idx="33">
                  <c:v>1116.8115997626001</c:v>
                </c:pt>
                <c:pt idx="34">
                  <c:v>1055.4908480870617</c:v>
                </c:pt>
                <c:pt idx="35">
                  <c:v>1134.7317862777957</c:v>
                </c:pt>
                <c:pt idx="36">
                  <c:v>1038.0130892545455</c:v>
                </c:pt>
                <c:pt idx="37">
                  <c:v>1051.93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B-49C2-B755-FFBB607BEF5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Sheet1!$A$2:$A$39</c:f>
              <c:strCache>
                <c:ptCount val="38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  <c:pt idx="37">
                  <c:v>Average</c:v>
                </c:pt>
              </c:strCache>
            </c:strRef>
          </c:cat>
          <c:val>
            <c:numRef>
              <c:f>Sheet1!$D$2:$D$39</c:f>
              <c:numCache>
                <c:formatCode>0.00</c:formatCode>
                <c:ptCount val="38"/>
                <c:pt idx="0">
                  <c:v>1247.8383212781428</c:v>
                </c:pt>
                <c:pt idx="1">
                  <c:v>1268.490545484879</c:v>
                </c:pt>
                <c:pt idx="2">
                  <c:v>1350.7321650796703</c:v>
                </c:pt>
                <c:pt idx="3">
                  <c:v>1301.5161371166655</c:v>
                </c:pt>
                <c:pt idx="4">
                  <c:v>1441.2242798133802</c:v>
                </c:pt>
                <c:pt idx="5">
                  <c:v>1290.4728792180795</c:v>
                </c:pt>
                <c:pt idx="6">
                  <c:v>1252.4847963316722</c:v>
                </c:pt>
                <c:pt idx="7">
                  <c:v>1303.6794292396801</c:v>
                </c:pt>
                <c:pt idx="8">
                  <c:v>1375.16229181218</c:v>
                </c:pt>
                <c:pt idx="9">
                  <c:v>1365.0226376598357</c:v>
                </c:pt>
                <c:pt idx="10">
                  <c:v>1279.6018592146163</c:v>
                </c:pt>
                <c:pt idx="11">
                  <c:v>1287.9259111482986</c:v>
                </c:pt>
                <c:pt idx="12">
                  <c:v>1315.0849964610979</c:v>
                </c:pt>
                <c:pt idx="13">
                  <c:v>1246.1584492537261</c:v>
                </c:pt>
                <c:pt idx="14">
                  <c:v>1308.2152442462375</c:v>
                </c:pt>
                <c:pt idx="15">
                  <c:v>1334.8319859677281</c:v>
                </c:pt>
                <c:pt idx="16">
                  <c:v>1291.0984925442067</c:v>
                </c:pt>
                <c:pt idx="17">
                  <c:v>1270.0622189492019</c:v>
                </c:pt>
                <c:pt idx="18">
                  <c:v>1193.3979999999999</c:v>
                </c:pt>
                <c:pt idx="19">
                  <c:v>1280.1399870269354</c:v>
                </c:pt>
                <c:pt idx="20">
                  <c:v>1356.4050026719995</c:v>
                </c:pt>
                <c:pt idx="21">
                  <c:v>1337.2598090124986</c:v>
                </c:pt>
                <c:pt idx="22">
                  <c:v>1217.24</c:v>
                </c:pt>
                <c:pt idx="23">
                  <c:v>1224.2773826855569</c:v>
                </c:pt>
                <c:pt idx="24">
                  <c:v>1162.7059656525198</c:v>
                </c:pt>
                <c:pt idx="25">
                  <c:v>1213.7957316349139</c:v>
                </c:pt>
                <c:pt idx="26">
                  <c:v>1328.4224461270396</c:v>
                </c:pt>
                <c:pt idx="27">
                  <c:v>1169.7818393190885</c:v>
                </c:pt>
                <c:pt idx="28">
                  <c:v>1287.8252196603446</c:v>
                </c:pt>
                <c:pt idx="29">
                  <c:v>1256.9570215394829</c:v>
                </c:pt>
                <c:pt idx="30">
                  <c:v>1271.3053739558022</c:v>
                </c:pt>
                <c:pt idx="31">
                  <c:v>1252.4481732820404</c:v>
                </c:pt>
                <c:pt idx="32">
                  <c:v>1247.8375532391431</c:v>
                </c:pt>
                <c:pt idx="33">
                  <c:v>1377.5542414974232</c:v>
                </c:pt>
                <c:pt idx="34">
                  <c:v>1305.7440770852045</c:v>
                </c:pt>
                <c:pt idx="35">
                  <c:v>1362.0517668263194</c:v>
                </c:pt>
                <c:pt idx="36">
                  <c:v>1301.3054876896451</c:v>
                </c:pt>
                <c:pt idx="37" formatCode="General">
                  <c:v>1288.06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B-49C2-B755-FFBB607BE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723215"/>
        <c:axId val="842257183"/>
      </c:barChart>
      <c:catAx>
        <c:axId val="8507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42257183"/>
        <c:crosses val="autoZero"/>
        <c:auto val="1"/>
        <c:lblAlgn val="ctr"/>
        <c:lblOffset val="100"/>
        <c:noMultiLvlLbl val="0"/>
      </c:catAx>
      <c:valAx>
        <c:axId val="8422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072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5225367389544375"/>
          <c:y val="0.176221113224686"/>
          <c:w val="0.84495161071331037"/>
          <c:h val="0.69756679866969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Sheet1!$S$8</c:f>
              <c:strCache>
                <c:ptCount val="1"/>
                <c:pt idx="0">
                  <c:v>Average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Sheet1!$T$7:$V$7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Sheet1!$T$8:$V$8</c:f>
              <c:numCache>
                <c:formatCode>0.00</c:formatCode>
                <c:ptCount val="3"/>
                <c:pt idx="0">
                  <c:v>1033.4059999999999</c:v>
                </c:pt>
                <c:pt idx="1">
                  <c:v>1051.93</c:v>
                </c:pt>
                <c:pt idx="2" formatCode="General">
                  <c:v>1288.06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B-4A91-BE3D-D8CF48B87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54733807"/>
        <c:axId val="839318703"/>
      </c:barChart>
      <c:catAx>
        <c:axId val="6547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39318703"/>
        <c:crosses val="autoZero"/>
        <c:auto val="1"/>
        <c:lblAlgn val="ctr"/>
        <c:lblOffset val="100"/>
        <c:noMultiLvlLbl val="0"/>
      </c:catAx>
      <c:valAx>
        <c:axId val="8393187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473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9261200482099408"/>
          <c:y val="0.11849032470261479"/>
          <c:w val="0.76267254891907232"/>
          <c:h val="0.66243682277486438"/>
        </c:manualLayout>
      </c:layout>
      <c:lineChart>
        <c:grouping val="stacked"/>
        <c:varyColors val="0"/>
        <c:ser>
          <c:idx val="0"/>
          <c:order val="0"/>
          <c:tx>
            <c:strRef>
              <c:f>Sheet1!$S$8</c:f>
              <c:strCache>
                <c:ptCount val="1"/>
                <c:pt idx="0">
                  <c:v>Average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Sheet1!$T$7:$V$7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Sheet1!$T$8:$V$8</c:f>
              <c:numCache>
                <c:formatCode>0.00</c:formatCode>
                <c:ptCount val="3"/>
                <c:pt idx="0">
                  <c:v>1033.4059999999999</c:v>
                </c:pt>
                <c:pt idx="1">
                  <c:v>1051.93</c:v>
                </c:pt>
                <c:pt idx="2" formatCode="General">
                  <c:v>1288.06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A-40EF-B8C5-2BD8F940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622207"/>
        <c:axId val="434733583"/>
      </c:lineChart>
      <c:catAx>
        <c:axId val="11196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34733583"/>
        <c:crosses val="autoZero"/>
        <c:auto val="1"/>
        <c:lblAlgn val="ctr"/>
        <c:lblOffset val="100"/>
        <c:noMultiLvlLbl val="0"/>
      </c:catAx>
      <c:valAx>
        <c:axId val="4347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9622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9077602799650045"/>
          <c:y val="0.17374999999999999"/>
          <c:w val="0.73751574803149611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Sheet2!$H$30</c:f>
              <c:strCache>
                <c:ptCount val="1"/>
                <c:pt idx="0">
                  <c:v>Average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Sheet2!$I$29:$J$29</c:f>
              <c:strCache>
                <c:ptCount val="2"/>
                <c:pt idx="0">
                  <c:v>PMS</c:v>
                </c:pt>
                <c:pt idx="1">
                  <c:v>Transport Cost</c:v>
                </c:pt>
              </c:strCache>
            </c:strRef>
          </c:cat>
          <c:val>
            <c:numRef>
              <c:f>Sheet2!$I$30:$J$30</c:f>
              <c:numCache>
                <c:formatCode>0.00</c:formatCode>
                <c:ptCount val="2"/>
                <c:pt idx="0">
                  <c:v>1033.4059999999999</c:v>
                </c:pt>
                <c:pt idx="1">
                  <c:v>1186.9774635621034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D77-AC5B-F124A3ED0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7940399"/>
        <c:axId val="1117853167"/>
      </c:barChart>
      <c:catAx>
        <c:axId val="114794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7853167"/>
        <c:crosses val="autoZero"/>
        <c:auto val="1"/>
        <c:lblAlgn val="ctr"/>
        <c:lblOffset val="100"/>
        <c:noMultiLvlLbl val="0"/>
      </c:catAx>
      <c:valAx>
        <c:axId val="111785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794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0138452454614205"/>
          <c:y val="0.18762557077625572"/>
          <c:w val="0.84581629723095086"/>
          <c:h val="0.62025851220652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1C-4992-95C3-81329759FC60}"/>
                </c:ext>
              </c:extLst>
            </c:dLbl>
            <c:dLbl>
              <c:idx val="37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1C-4992-95C3-81329759FC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Sheet2!$A$2:$A$39</c:f>
              <c:strCache>
                <c:ptCount val="38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  <c:pt idx="37">
                  <c:v>Average</c:v>
                </c:pt>
              </c:strCache>
            </c:strRef>
          </c:xVal>
          <c:yVal>
            <c:numRef>
              <c:f>Sheet2!$B$2:$B$39</c:f>
              <c:numCache>
                <c:formatCode>0.00</c:formatCode>
                <c:ptCount val="38"/>
                <c:pt idx="0">
                  <c:v>1054.25</c:v>
                </c:pt>
                <c:pt idx="1">
                  <c:v>959.61129166666672</c:v>
                </c:pt>
                <c:pt idx="2">
                  <c:v>1090.1947916666668</c:v>
                </c:pt>
                <c:pt idx="3">
                  <c:v>1112.7822536091116</c:v>
                </c:pt>
                <c:pt idx="4">
                  <c:v>980.79375000000005</c:v>
                </c:pt>
                <c:pt idx="5">
                  <c:v>967.00610555555556</c:v>
                </c:pt>
                <c:pt idx="6">
                  <c:v>968.88750000000005</c:v>
                </c:pt>
                <c:pt idx="7">
                  <c:v>1059.49</c:v>
                </c:pt>
                <c:pt idx="8">
                  <c:v>1079.5</c:v>
                </c:pt>
                <c:pt idx="9">
                  <c:v>1171.765185114841</c:v>
                </c:pt>
                <c:pt idx="10">
                  <c:v>1012.4313442728118</c:v>
                </c:pt>
                <c:pt idx="11">
                  <c:v>1065.8506714285716</c:v>
                </c:pt>
                <c:pt idx="12">
                  <c:v>1029.45</c:v>
                </c:pt>
                <c:pt idx="13">
                  <c:v>946.90090967871424</c:v>
                </c:pt>
                <c:pt idx="14">
                  <c:v>946.91616666666653</c:v>
                </c:pt>
                <c:pt idx="15">
                  <c:v>1016.8226789622222</c:v>
                </c:pt>
                <c:pt idx="16">
                  <c:v>1085.8726891178571</c:v>
                </c:pt>
                <c:pt idx="17">
                  <c:v>983.45983285619138</c:v>
                </c:pt>
                <c:pt idx="18">
                  <c:v>947</c:v>
                </c:pt>
                <c:pt idx="19">
                  <c:v>1014.3976810673672</c:v>
                </c:pt>
                <c:pt idx="20">
                  <c:v>1035.8349583333334</c:v>
                </c:pt>
                <c:pt idx="21">
                  <c:v>1042.8995413802099</c:v>
                </c:pt>
                <c:pt idx="22">
                  <c:v>960</c:v>
                </c:pt>
                <c:pt idx="23">
                  <c:v>1109.1572490111942</c:v>
                </c:pt>
                <c:pt idx="24">
                  <c:v>1026.10526907287</c:v>
                </c:pt>
                <c:pt idx="25">
                  <c:v>1149.1342781461683</c:v>
                </c:pt>
                <c:pt idx="26">
                  <c:v>983.50650474999998</c:v>
                </c:pt>
                <c:pt idx="27">
                  <c:v>995.65770644023632</c:v>
                </c:pt>
                <c:pt idx="28">
                  <c:v>1036.6688796505362</c:v>
                </c:pt>
                <c:pt idx="29">
                  <c:v>1037.3764624716425</c:v>
                </c:pt>
                <c:pt idx="30">
                  <c:v>1013.1016032</c:v>
                </c:pt>
                <c:pt idx="31">
                  <c:v>1077.1600000000001</c:v>
                </c:pt>
                <c:pt idx="32">
                  <c:v>1160.91714</c:v>
                </c:pt>
                <c:pt idx="33">
                  <c:v>1019.311709859084</c:v>
                </c:pt>
                <c:pt idx="34">
                  <c:v>1048.4107509999999</c:v>
                </c:pt>
                <c:pt idx="35">
                  <c:v>1050.7736628333334</c:v>
                </c:pt>
                <c:pt idx="36">
                  <c:v>1046.56769610574</c:v>
                </c:pt>
                <c:pt idx="37">
                  <c:v>1033.4059999999999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C-4992-95C3-81329759FC6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Bus journey within  city (January)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8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1C-4992-95C3-81329759FC60}"/>
                </c:ext>
              </c:extLst>
            </c:dLbl>
            <c:dLbl>
              <c:idx val="27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1C-4992-95C3-81329759FC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Sheet2!$A$2:$A$39</c:f>
              <c:strCache>
                <c:ptCount val="38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  <c:pt idx="37">
                  <c:v>Average</c:v>
                </c:pt>
              </c:strCache>
            </c:strRef>
          </c:xVal>
          <c:yVal>
            <c:numRef>
              <c:f>Sheet2!$C$2:$C$39</c:f>
              <c:numCache>
                <c:formatCode>0.00</c:formatCode>
                <c:ptCount val="38"/>
                <c:pt idx="0">
                  <c:v>649</c:v>
                </c:pt>
                <c:pt idx="1">
                  <c:v>1007.77041328728</c:v>
                </c:pt>
                <c:pt idx="2">
                  <c:v>695.59095226667</c:v>
                </c:pt>
                <c:pt idx="3">
                  <c:v>1110.91601917239</c:v>
                </c:pt>
                <c:pt idx="4">
                  <c:v>1166.25</c:v>
                </c:pt>
                <c:pt idx="5">
                  <c:v>1222.7976636405299</c:v>
                </c:pt>
                <c:pt idx="6">
                  <c:v>1081.6666666666599</c:v>
                </c:pt>
                <c:pt idx="7">
                  <c:v>1247.43257941971</c:v>
                </c:pt>
                <c:pt idx="8">
                  <c:v>1326.0394548178001</c:v>
                </c:pt>
                <c:pt idx="9">
                  <c:v>1230.1816737484</c:v>
                </c:pt>
                <c:pt idx="10">
                  <c:v>1228.1748984619801</c:v>
                </c:pt>
                <c:pt idx="11">
                  <c:v>1103.0389375</c:v>
                </c:pt>
                <c:pt idx="12">
                  <c:v>1283.0389375</c:v>
                </c:pt>
                <c:pt idx="13">
                  <c:v>1185.34073711887</c:v>
                </c:pt>
                <c:pt idx="14">
                  <c:v>1308.023749688</c:v>
                </c:pt>
                <c:pt idx="15">
                  <c:v>1165.3097947007</c:v>
                </c:pt>
                <c:pt idx="16">
                  <c:v>1217.0357435429</c:v>
                </c:pt>
                <c:pt idx="17">
                  <c:v>1325.97128260727</c:v>
                </c:pt>
                <c:pt idx="18">
                  <c:v>1370.3333333333301</c:v>
                </c:pt>
                <c:pt idx="19">
                  <c:v>891.42792530821998</c:v>
                </c:pt>
                <c:pt idx="20">
                  <c:v>1148.81751653334</c:v>
                </c:pt>
                <c:pt idx="21">
                  <c:v>955.39131320000001</c:v>
                </c:pt>
                <c:pt idx="22">
                  <c:v>1125.1227881249999</c:v>
                </c:pt>
                <c:pt idx="23">
                  <c:v>1393.23419237455</c:v>
                </c:pt>
                <c:pt idx="24">
                  <c:v>1566.03120472917</c:v>
                </c:pt>
                <c:pt idx="25">
                  <c:v>1338.0826673040001</c:v>
                </c:pt>
                <c:pt idx="26">
                  <c:v>1170.6666666666599</c:v>
                </c:pt>
                <c:pt idx="27">
                  <c:v>1376.7731530359099</c:v>
                </c:pt>
                <c:pt idx="28">
                  <c:v>1379.6175479757001</c:v>
                </c:pt>
                <c:pt idx="29">
                  <c:v>1127.5121658836699</c:v>
                </c:pt>
                <c:pt idx="30">
                  <c:v>1306.09312205434</c:v>
                </c:pt>
                <c:pt idx="31">
                  <c:v>1145.5898878587</c:v>
                </c:pt>
                <c:pt idx="32">
                  <c:v>973.47183274990005</c:v>
                </c:pt>
                <c:pt idx="33">
                  <c:v>950</c:v>
                </c:pt>
                <c:pt idx="34">
                  <c:v>1378.5521282295999</c:v>
                </c:pt>
                <c:pt idx="35">
                  <c:v>1380.4807655279999</c:v>
                </c:pt>
                <c:pt idx="36">
                  <c:v>1387.38843676856</c:v>
                </c:pt>
                <c:pt idx="37">
                  <c:v>1186.9774635621034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C-4992-95C3-81329759F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331727"/>
        <c:axId val="852684847"/>
      </c:scatterChart>
      <c:valAx>
        <c:axId val="115333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2684847"/>
        <c:crosses val="autoZero"/>
        <c:crossBetween val="midCat"/>
      </c:valAx>
      <c:valAx>
        <c:axId val="8526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53331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Sheet3!$H$10</c:f>
              <c:strCache>
                <c:ptCount val="1"/>
                <c:pt idx="0">
                  <c:v>Average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Sheet3!$I$9</c:f>
              <c:strCache>
                <c:ptCount val="1"/>
                <c:pt idx="0">
                  <c:v>PMS</c:v>
                </c:pt>
              </c:strCache>
            </c:strRef>
          </c:cat>
          <c:val>
            <c:numRef>
              <c:f>Sheet3!$I$10</c:f>
              <c:numCache>
                <c:formatCode>General</c:formatCode>
                <c:ptCount val="1"/>
                <c:pt idx="0">
                  <c:v>1051.93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C-4D29-BB89-886D1AA2E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942540143"/>
        <c:axId val="575932863"/>
        <c:axId val="0"/>
      </c:bar3DChart>
      <c:catAx>
        <c:axId val="94254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5932863"/>
        <c:crosses val="autoZero"/>
        <c:auto val="1"/>
        <c:lblAlgn val="ctr"/>
        <c:lblOffset val="100"/>
        <c:noMultiLvlLbl val="0"/>
      </c:catAx>
      <c:valAx>
        <c:axId val="57593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425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PMS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Sheet3!$H$10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Sheet3!$I$9</c:f>
              <c:strCache>
                <c:ptCount val="1"/>
                <c:pt idx="0">
                  <c:v>PMS</c:v>
                </c:pt>
              </c:strCache>
            </c:strRef>
          </c:cat>
          <c:val>
            <c:numRef>
              <c:f>Sheet3!$I$10</c:f>
              <c:numCache>
                <c:formatCode>General</c:formatCode>
                <c:ptCount val="1"/>
                <c:pt idx="0">
                  <c:v>1051.93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C-4D29-BB89-886D1AA2EF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942540143"/>
        <c:axId val="575932863"/>
        <c:axId val="0"/>
      </c:bar3DChart>
      <c:catAx>
        <c:axId val="94254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5932863"/>
        <c:crosses val="autoZero"/>
        <c:auto val="1"/>
        <c:lblAlgn val="ctr"/>
        <c:lblOffset val="100"/>
        <c:noMultiLvlLbl val="0"/>
      </c:catAx>
      <c:valAx>
        <c:axId val="57593286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425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Sheet3!$F$15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Sheet3!$G$14</c:f>
              <c:strCache>
                <c:ptCount val="1"/>
                <c:pt idx="0">
                  <c:v>Bus journey within  city (Februaury)</c:v>
                </c:pt>
              </c:strCache>
            </c:strRef>
          </c:cat>
          <c:val>
            <c:numRef>
              <c:f>Sheet3!$G$15</c:f>
              <c:numCache>
                <c:formatCode>General</c:formatCode>
                <c:ptCount val="1"/>
                <c:pt idx="0">
                  <c:v>1195.7502955501307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0-47BE-ABF9-E2B9927498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211684399"/>
        <c:axId val="1139684287"/>
        <c:axId val="0"/>
      </c:bar3DChart>
      <c:catAx>
        <c:axId val="121168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39684287"/>
        <c:crosses val="autoZero"/>
        <c:auto val="1"/>
        <c:lblAlgn val="ctr"/>
        <c:lblOffset val="100"/>
        <c:noMultiLvlLbl val="0"/>
      </c:catAx>
      <c:valAx>
        <c:axId val="113968428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1168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Sheet3!$A$2:$A$38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Sheet3!$B$2:$B$38</c:f>
              <c:numCache>
                <c:formatCode>0.00</c:formatCode>
                <c:ptCount val="37"/>
                <c:pt idx="0">
                  <c:v>1095.1941456475688</c:v>
                </c:pt>
                <c:pt idx="1">
                  <c:v>1006.32984760697</c:v>
                </c:pt>
                <c:pt idx="2">
                  <c:v>1096.6324641309066</c:v>
                </c:pt>
                <c:pt idx="3">
                  <c:v>1109.4363411565614</c:v>
                </c:pt>
                <c:pt idx="4">
                  <c:v>1077.5079924242414</c:v>
                </c:pt>
                <c:pt idx="5">
                  <c:v>1005.45175870677</c:v>
                </c:pt>
                <c:pt idx="6">
                  <c:v>1050.0274999999999</c:v>
                </c:pt>
                <c:pt idx="7">
                  <c:v>1069.3971361925801</c:v>
                </c:pt>
                <c:pt idx="8">
                  <c:v>1108.0850239171796</c:v>
                </c:pt>
                <c:pt idx="9">
                  <c:v>1068.606344432329</c:v>
                </c:pt>
                <c:pt idx="10">
                  <c:v>1023.8071483574723</c:v>
                </c:pt>
                <c:pt idx="11">
                  <c:v>1095.6565671715173</c:v>
                </c:pt>
                <c:pt idx="12">
                  <c:v>1055.3399999999999</c:v>
                </c:pt>
                <c:pt idx="13">
                  <c:v>1015.7126408420496</c:v>
                </c:pt>
                <c:pt idx="14">
                  <c:v>1008.7965189105699</c:v>
                </c:pt>
                <c:pt idx="15">
                  <c:v>1106.0449880536501</c:v>
                </c:pt>
                <c:pt idx="16">
                  <c:v>1016.586025415284</c:v>
                </c:pt>
                <c:pt idx="17">
                  <c:v>1068.9572309156815</c:v>
                </c:pt>
                <c:pt idx="18">
                  <c:v>1000.0666666666666</c:v>
                </c:pt>
                <c:pt idx="19">
                  <c:v>1032.4446482783387</c:v>
                </c:pt>
                <c:pt idx="20">
                  <c:v>1009.56085349024</c:v>
                </c:pt>
                <c:pt idx="21">
                  <c:v>1047.7039807835356</c:v>
                </c:pt>
                <c:pt idx="22">
                  <c:v>1002</c:v>
                </c:pt>
                <c:pt idx="23">
                  <c:v>1064.6276672387444</c:v>
                </c:pt>
                <c:pt idx="24">
                  <c:v>966.60965193062839</c:v>
                </c:pt>
                <c:pt idx="25">
                  <c:v>1042.6815218774004</c:v>
                </c:pt>
                <c:pt idx="26">
                  <c:v>1072.6494935481323</c:v>
                </c:pt>
                <c:pt idx="27">
                  <c:v>1029.6665876407706</c:v>
                </c:pt>
                <c:pt idx="28">
                  <c:v>1071.5644526898609</c:v>
                </c:pt>
                <c:pt idx="29">
                  <c:v>1086.3613159424251</c:v>
                </c:pt>
                <c:pt idx="30">
                  <c:v>973.44872962790305</c:v>
                </c:pt>
                <c:pt idx="31">
                  <c:v>1051.727557265312</c:v>
                </c:pt>
                <c:pt idx="32">
                  <c:v>1030.7429628275222</c:v>
                </c:pt>
                <c:pt idx="33">
                  <c:v>1116.8115997626001</c:v>
                </c:pt>
                <c:pt idx="34">
                  <c:v>1055.4908480870617</c:v>
                </c:pt>
                <c:pt idx="35">
                  <c:v>1134.7317862777957</c:v>
                </c:pt>
                <c:pt idx="36">
                  <c:v>1038.0130892545455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F-47F1-A3DC-E25DD03E8E7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Bus journey within  city (Februaury)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Sheet3!$A$2:$A$38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Sheet3!$C$2:$C$38</c:f>
              <c:numCache>
                <c:formatCode>0.00</c:formatCode>
                <c:ptCount val="37"/>
                <c:pt idx="0">
                  <c:v>699.16633371879004</c:v>
                </c:pt>
                <c:pt idx="1">
                  <c:v>1223.1001461678597</c:v>
                </c:pt>
                <c:pt idx="2">
                  <c:v>700</c:v>
                </c:pt>
                <c:pt idx="3">
                  <c:v>1197.1789701606201</c:v>
                </c:pt>
                <c:pt idx="4">
                  <c:v>1173.375</c:v>
                </c:pt>
                <c:pt idx="5">
                  <c:v>1276.54601574</c:v>
                </c:pt>
                <c:pt idx="6">
                  <c:v>1089.3</c:v>
                </c:pt>
                <c:pt idx="7">
                  <c:v>1249.4746738884901</c:v>
                </c:pt>
                <c:pt idx="8">
                  <c:v>1389.32857182516</c:v>
                </c:pt>
                <c:pt idx="9">
                  <c:v>1205.27150815402</c:v>
                </c:pt>
                <c:pt idx="10">
                  <c:v>1295.01268991756</c:v>
                </c:pt>
                <c:pt idx="11">
                  <c:v>1140.9112810377301</c:v>
                </c:pt>
                <c:pt idx="12">
                  <c:v>1294.6230158374999</c:v>
                </c:pt>
                <c:pt idx="13">
                  <c:v>1190.34073711887</c:v>
                </c:pt>
                <c:pt idx="14">
                  <c:v>1340.85460702608</c:v>
                </c:pt>
                <c:pt idx="15">
                  <c:v>1149.0822458206601</c:v>
                </c:pt>
                <c:pt idx="16">
                  <c:v>1226.2147313550299</c:v>
                </c:pt>
                <c:pt idx="17">
                  <c:v>1076.5279997399086</c:v>
                </c:pt>
                <c:pt idx="18">
                  <c:v>1325.3333333333333</c:v>
                </c:pt>
                <c:pt idx="19">
                  <c:v>895.48987344493003</c:v>
                </c:pt>
                <c:pt idx="20">
                  <c:v>1152.7244570748801</c:v>
                </c:pt>
                <c:pt idx="21">
                  <c:v>1157.2551108865398</c:v>
                </c:pt>
                <c:pt idx="22">
                  <c:v>1140.1258167032699</c:v>
                </c:pt>
                <c:pt idx="23">
                  <c:v>1316.95193229761</c:v>
                </c:pt>
                <c:pt idx="24">
                  <c:v>1537.08624241245</c:v>
                </c:pt>
                <c:pt idx="25">
                  <c:v>1343.52337276091</c:v>
                </c:pt>
                <c:pt idx="26">
                  <c:v>1172.3780060997101</c:v>
                </c:pt>
                <c:pt idx="27">
                  <c:v>1380.7440894374499</c:v>
                </c:pt>
                <c:pt idx="28">
                  <c:v>1389.85</c:v>
                </c:pt>
                <c:pt idx="29">
                  <c:v>1220.5266190294601</c:v>
                </c:pt>
                <c:pt idx="30">
                  <c:v>1242.2496416273862</c:v>
                </c:pt>
                <c:pt idx="31">
                  <c:v>1189.04823367884</c:v>
                </c:pt>
                <c:pt idx="32">
                  <c:v>928.43985688749001</c:v>
                </c:pt>
                <c:pt idx="33">
                  <c:v>945.09474662741002</c:v>
                </c:pt>
                <c:pt idx="34">
                  <c:v>1405.35572020621</c:v>
                </c:pt>
                <c:pt idx="35">
                  <c:v>1228.9234143586903</c:v>
                </c:pt>
                <c:pt idx="36">
                  <c:v>1355.3519409800001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F-47F1-A3DC-E25DD03E8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6077679"/>
        <c:axId val="1139635199"/>
        <c:axId val="0"/>
      </c:bar3DChart>
      <c:catAx>
        <c:axId val="107607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39635199"/>
        <c:crosses val="autoZero"/>
        <c:auto val="1"/>
        <c:lblAlgn val="ctr"/>
        <c:lblOffset val="100"/>
        <c:noMultiLvlLbl val="0"/>
      </c:catAx>
      <c:valAx>
        <c:axId val="11396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607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3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D9-457C-9839-FE5E051B02BC}"/>
                </c:ext>
              </c:extLst>
            </c:dLbl>
            <c:dLbl>
              <c:idx val="2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D9-457C-9839-FE5E051B02BC}"/>
                </c:ext>
              </c:extLst>
            </c:dLbl>
            <c:dLbl>
              <c:idx val="3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D9-457C-9839-FE5E051B02B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Sheet3!$A$2:$A$38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Sheet3!$B$2:$B$38</c:f>
              <c:numCache>
                <c:formatCode>0.00</c:formatCode>
                <c:ptCount val="37"/>
                <c:pt idx="0">
                  <c:v>1095.1941456475688</c:v>
                </c:pt>
                <c:pt idx="1">
                  <c:v>1006.32984760697</c:v>
                </c:pt>
                <c:pt idx="2">
                  <c:v>1096.6324641309066</c:v>
                </c:pt>
                <c:pt idx="3">
                  <c:v>1109.4363411565614</c:v>
                </c:pt>
                <c:pt idx="4">
                  <c:v>1077.5079924242414</c:v>
                </c:pt>
                <c:pt idx="5">
                  <c:v>1005.45175870677</c:v>
                </c:pt>
                <c:pt idx="6">
                  <c:v>1050.0274999999999</c:v>
                </c:pt>
                <c:pt idx="7">
                  <c:v>1069.3971361925801</c:v>
                </c:pt>
                <c:pt idx="8">
                  <c:v>1108.0850239171796</c:v>
                </c:pt>
                <c:pt idx="9">
                  <c:v>1068.606344432329</c:v>
                </c:pt>
                <c:pt idx="10">
                  <c:v>1023.8071483574723</c:v>
                </c:pt>
                <c:pt idx="11">
                  <c:v>1095.6565671715173</c:v>
                </c:pt>
                <c:pt idx="12">
                  <c:v>1055.3399999999999</c:v>
                </c:pt>
                <c:pt idx="13">
                  <c:v>1015.7126408420496</c:v>
                </c:pt>
                <c:pt idx="14">
                  <c:v>1008.7965189105699</c:v>
                </c:pt>
                <c:pt idx="15">
                  <c:v>1106.0449880536501</c:v>
                </c:pt>
                <c:pt idx="16">
                  <c:v>1016.586025415284</c:v>
                </c:pt>
                <c:pt idx="17">
                  <c:v>1068.9572309156815</c:v>
                </c:pt>
                <c:pt idx="18">
                  <c:v>1000.0666666666666</c:v>
                </c:pt>
                <c:pt idx="19">
                  <c:v>1032.4446482783387</c:v>
                </c:pt>
                <c:pt idx="20">
                  <c:v>1009.56085349024</c:v>
                </c:pt>
                <c:pt idx="21">
                  <c:v>1047.7039807835356</c:v>
                </c:pt>
                <c:pt idx="22">
                  <c:v>1002</c:v>
                </c:pt>
                <c:pt idx="23">
                  <c:v>1064.6276672387444</c:v>
                </c:pt>
                <c:pt idx="24">
                  <c:v>966.60965193062839</c:v>
                </c:pt>
                <c:pt idx="25">
                  <c:v>1042.6815218774004</c:v>
                </c:pt>
                <c:pt idx="26">
                  <c:v>1072.6494935481323</c:v>
                </c:pt>
                <c:pt idx="27">
                  <c:v>1029.6665876407706</c:v>
                </c:pt>
                <c:pt idx="28">
                  <c:v>1071.5644526898609</c:v>
                </c:pt>
                <c:pt idx="29">
                  <c:v>1086.3613159424251</c:v>
                </c:pt>
                <c:pt idx="30">
                  <c:v>973.44872962790305</c:v>
                </c:pt>
                <c:pt idx="31">
                  <c:v>1051.727557265312</c:v>
                </c:pt>
                <c:pt idx="32">
                  <c:v>1030.7429628275222</c:v>
                </c:pt>
                <c:pt idx="33">
                  <c:v>1116.8115997626001</c:v>
                </c:pt>
                <c:pt idx="34">
                  <c:v>1055.4908480870617</c:v>
                </c:pt>
                <c:pt idx="35">
                  <c:v>1134.7317862777957</c:v>
                </c:pt>
                <c:pt idx="36">
                  <c:v>1038.0130892545455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9-457C-9839-FE5E051B02BC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Bus journey within  city (Februaury)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D9-457C-9839-FE5E051B02BC}"/>
                </c:ext>
              </c:extLst>
            </c:dLbl>
            <c:dLbl>
              <c:idx val="1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D9-457C-9839-FE5E051B02BC}"/>
                </c:ext>
              </c:extLst>
            </c:dLbl>
            <c:dLbl>
              <c:idx val="2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D9-457C-9839-FE5E051B02B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Sheet3!$A$2:$A$38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Sheet3!$C$2:$C$38</c:f>
              <c:numCache>
                <c:formatCode>0.00</c:formatCode>
                <c:ptCount val="37"/>
                <c:pt idx="0">
                  <c:v>699.16633371879004</c:v>
                </c:pt>
                <c:pt idx="1">
                  <c:v>1223.1001461678597</c:v>
                </c:pt>
                <c:pt idx="2">
                  <c:v>700</c:v>
                </c:pt>
                <c:pt idx="3">
                  <c:v>1197.1789701606201</c:v>
                </c:pt>
                <c:pt idx="4">
                  <c:v>1173.375</c:v>
                </c:pt>
                <c:pt idx="5">
                  <c:v>1276.54601574</c:v>
                </c:pt>
                <c:pt idx="6">
                  <c:v>1089.3</c:v>
                </c:pt>
                <c:pt idx="7">
                  <c:v>1249.4746738884901</c:v>
                </c:pt>
                <c:pt idx="8">
                  <c:v>1389.32857182516</c:v>
                </c:pt>
                <c:pt idx="9">
                  <c:v>1205.27150815402</c:v>
                </c:pt>
                <c:pt idx="10">
                  <c:v>1295.01268991756</c:v>
                </c:pt>
                <c:pt idx="11">
                  <c:v>1140.9112810377301</c:v>
                </c:pt>
                <c:pt idx="12">
                  <c:v>1294.6230158374999</c:v>
                </c:pt>
                <c:pt idx="13">
                  <c:v>1190.34073711887</c:v>
                </c:pt>
                <c:pt idx="14">
                  <c:v>1340.85460702608</c:v>
                </c:pt>
                <c:pt idx="15">
                  <c:v>1149.0822458206601</c:v>
                </c:pt>
                <c:pt idx="16">
                  <c:v>1226.2147313550299</c:v>
                </c:pt>
                <c:pt idx="17">
                  <c:v>1076.5279997399086</c:v>
                </c:pt>
                <c:pt idx="18">
                  <c:v>1325.3333333333333</c:v>
                </c:pt>
                <c:pt idx="19">
                  <c:v>895.48987344493003</c:v>
                </c:pt>
                <c:pt idx="20">
                  <c:v>1152.7244570748801</c:v>
                </c:pt>
                <c:pt idx="21">
                  <c:v>1157.2551108865398</c:v>
                </c:pt>
                <c:pt idx="22">
                  <c:v>1140.1258167032699</c:v>
                </c:pt>
                <c:pt idx="23">
                  <c:v>1316.95193229761</c:v>
                </c:pt>
                <c:pt idx="24">
                  <c:v>1537.08624241245</c:v>
                </c:pt>
                <c:pt idx="25">
                  <c:v>1343.52337276091</c:v>
                </c:pt>
                <c:pt idx="26">
                  <c:v>1172.3780060997101</c:v>
                </c:pt>
                <c:pt idx="27">
                  <c:v>1380.7440894374499</c:v>
                </c:pt>
                <c:pt idx="28">
                  <c:v>1389.85</c:v>
                </c:pt>
                <c:pt idx="29">
                  <c:v>1220.5266190294601</c:v>
                </c:pt>
                <c:pt idx="30">
                  <c:v>1242.2496416273862</c:v>
                </c:pt>
                <c:pt idx="31">
                  <c:v>1189.04823367884</c:v>
                </c:pt>
                <c:pt idx="32">
                  <c:v>928.43985688749001</c:v>
                </c:pt>
                <c:pt idx="33">
                  <c:v>945.09474662741002</c:v>
                </c:pt>
                <c:pt idx="34">
                  <c:v>1405.35572020621</c:v>
                </c:pt>
                <c:pt idx="35">
                  <c:v>1228.9234143586903</c:v>
                </c:pt>
                <c:pt idx="36">
                  <c:v>1355.3519409800001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9-457C-9839-FE5E051B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077679"/>
        <c:axId val="1139635199"/>
      </c:lineChart>
      <c:catAx>
        <c:axId val="107607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39635199"/>
        <c:crosses val="autoZero"/>
        <c:auto val="1"/>
        <c:lblAlgn val="ctr"/>
        <c:lblOffset val="100"/>
        <c:noMultiLvlLbl val="0"/>
      </c:catAx>
      <c:valAx>
        <c:axId val="11396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607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PMS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Sheet4!$B$2:$B$39</c:f>
              <c:numCache>
                <c:formatCode>General</c:formatCode>
                <c:ptCount val="38"/>
                <c:pt idx="0">
                  <c:v>1247.8383212781428</c:v>
                </c:pt>
                <c:pt idx="1">
                  <c:v>1268.490545484879</c:v>
                </c:pt>
                <c:pt idx="2">
                  <c:v>1350.7321650796703</c:v>
                </c:pt>
                <c:pt idx="3">
                  <c:v>1301.5161371166655</c:v>
                </c:pt>
                <c:pt idx="4">
                  <c:v>1441.2242798133802</c:v>
                </c:pt>
                <c:pt idx="5">
                  <c:v>1290.4728792180795</c:v>
                </c:pt>
                <c:pt idx="6">
                  <c:v>1252.4847963316722</c:v>
                </c:pt>
                <c:pt idx="7">
                  <c:v>1303.6794292396801</c:v>
                </c:pt>
                <c:pt idx="8">
                  <c:v>1375.16229181218</c:v>
                </c:pt>
                <c:pt idx="9">
                  <c:v>1365.0226376598357</c:v>
                </c:pt>
                <c:pt idx="10">
                  <c:v>1279.6018592146163</c:v>
                </c:pt>
                <c:pt idx="11">
                  <c:v>1287.9259111482986</c:v>
                </c:pt>
                <c:pt idx="12">
                  <c:v>1315.0849964610979</c:v>
                </c:pt>
                <c:pt idx="13">
                  <c:v>1246.1584492537261</c:v>
                </c:pt>
                <c:pt idx="14">
                  <c:v>1308.2152442462375</c:v>
                </c:pt>
                <c:pt idx="15">
                  <c:v>1334.8319859677281</c:v>
                </c:pt>
                <c:pt idx="16">
                  <c:v>1291.0984925442067</c:v>
                </c:pt>
                <c:pt idx="17">
                  <c:v>1270.0622189492019</c:v>
                </c:pt>
                <c:pt idx="18">
                  <c:v>1193.3979999999999</c:v>
                </c:pt>
                <c:pt idx="19">
                  <c:v>1280.1399870269354</c:v>
                </c:pt>
                <c:pt idx="20">
                  <c:v>1356.4050026719995</c:v>
                </c:pt>
                <c:pt idx="21">
                  <c:v>1337.2598090124986</c:v>
                </c:pt>
                <c:pt idx="22">
                  <c:v>1217.24</c:v>
                </c:pt>
                <c:pt idx="23">
                  <c:v>1224.2773826855569</c:v>
                </c:pt>
                <c:pt idx="24">
                  <c:v>1162.7059656525198</c:v>
                </c:pt>
                <c:pt idx="25">
                  <c:v>1213.7957316349139</c:v>
                </c:pt>
                <c:pt idx="26">
                  <c:v>1328.4224461270396</c:v>
                </c:pt>
                <c:pt idx="27">
                  <c:v>1169.7818393190885</c:v>
                </c:pt>
                <c:pt idx="28">
                  <c:v>1287.8252196603446</c:v>
                </c:pt>
                <c:pt idx="29">
                  <c:v>1256.9570215394829</c:v>
                </c:pt>
                <c:pt idx="30">
                  <c:v>1271.3053739558022</c:v>
                </c:pt>
                <c:pt idx="31">
                  <c:v>1252.4481732820404</c:v>
                </c:pt>
                <c:pt idx="32">
                  <c:v>1247.8375532391431</c:v>
                </c:pt>
                <c:pt idx="33">
                  <c:v>1377.5542414974232</c:v>
                </c:pt>
                <c:pt idx="34">
                  <c:v>1305.7440770852045</c:v>
                </c:pt>
                <c:pt idx="35">
                  <c:v>1362.0517668263194</c:v>
                </c:pt>
                <c:pt idx="36">
                  <c:v>1301.3054876896451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2-44E6-9F2A-C7D2A7F136F9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Bus journey within  city (March)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Sheet4!$C$2:$C$39</c:f>
              <c:numCache>
                <c:formatCode>0.00</c:formatCode>
                <c:ptCount val="38"/>
                <c:pt idx="0">
                  <c:v>850.17713142670004</c:v>
                </c:pt>
                <c:pt idx="1">
                  <c:v>1353.9718618078193</c:v>
                </c:pt>
                <c:pt idx="2">
                  <c:v>911.16</c:v>
                </c:pt>
                <c:pt idx="3">
                  <c:v>1375.0771199678099</c:v>
                </c:pt>
                <c:pt idx="4">
                  <c:v>1289.926125</c:v>
                </c:pt>
                <c:pt idx="5">
                  <c:v>1413.1364394241798</c:v>
                </c:pt>
                <c:pt idx="6">
                  <c:v>1273.7551000000001</c:v>
                </c:pt>
                <c:pt idx="7">
                  <c:v>1573.8280192109567</c:v>
                </c:pt>
                <c:pt idx="8">
                  <c:v>1499.78672901046</c:v>
                </c:pt>
                <c:pt idx="9">
                  <c:v>1474.2036617553299</c:v>
                </c:pt>
                <c:pt idx="10">
                  <c:v>1480.3207273764899</c:v>
                </c:pt>
                <c:pt idx="11">
                  <c:v>1362.0481337465999</c:v>
                </c:pt>
                <c:pt idx="12">
                  <c:v>1398.7476785321101</c:v>
                </c:pt>
                <c:pt idx="13">
                  <c:v>1353.73451172662</c:v>
                </c:pt>
                <c:pt idx="14">
                  <c:v>1561.1163833112078</c:v>
                </c:pt>
                <c:pt idx="15">
                  <c:v>1312.89545292909</c:v>
                </c:pt>
                <c:pt idx="16">
                  <c:v>1390.0278951222299</c:v>
                </c:pt>
                <c:pt idx="17">
                  <c:v>1208.3887777190955</c:v>
                </c:pt>
                <c:pt idx="18">
                  <c:v>1467.1440000000002</c:v>
                </c:pt>
                <c:pt idx="19">
                  <c:v>1046.31441188803</c:v>
                </c:pt>
                <c:pt idx="20">
                  <c:v>1398.1538953059014</c:v>
                </c:pt>
                <c:pt idx="21">
                  <c:v>1281.0814077513999</c:v>
                </c:pt>
                <c:pt idx="22">
                  <c:v>1326.6622790905201</c:v>
                </c:pt>
                <c:pt idx="23">
                  <c:v>1474.9574613555901</c:v>
                </c:pt>
                <c:pt idx="24">
                  <c:v>1694.47260379457</c:v>
                </c:pt>
                <c:pt idx="25">
                  <c:v>1484.3033859534</c:v>
                </c:pt>
                <c:pt idx="26">
                  <c:v>1313.06534984427</c:v>
                </c:pt>
                <c:pt idx="27">
                  <c:v>1489.5637070072601</c:v>
                </c:pt>
                <c:pt idx="28">
                  <c:v>1491.8289500000001</c:v>
                </c:pt>
                <c:pt idx="29">
                  <c:v>1594.4481432384234</c:v>
                </c:pt>
                <c:pt idx="30">
                  <c:v>1375.1703532815161</c:v>
                </c:pt>
                <c:pt idx="31">
                  <c:v>1301.8763946824799</c:v>
                </c:pt>
                <c:pt idx="32">
                  <c:v>1088.28292157445</c:v>
                </c:pt>
                <c:pt idx="33">
                  <c:v>1117.6198845165</c:v>
                </c:pt>
                <c:pt idx="34">
                  <c:v>1678.2087822682799</c:v>
                </c:pt>
                <c:pt idx="35">
                  <c:v>1391.8475438803575</c:v>
                </c:pt>
                <c:pt idx="36">
                  <c:v>1721.7745986648602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2-44E6-9F2A-C7D2A7F13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788127"/>
        <c:axId val="1443207599"/>
      </c:lineChart>
      <c:catAx>
        <c:axId val="1443788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3207599"/>
        <c:crosses val="autoZero"/>
        <c:auto val="1"/>
        <c:lblAlgn val="ctr"/>
        <c:lblOffset val="100"/>
        <c:noMultiLvlLbl val="0"/>
      </c:catAx>
      <c:valAx>
        <c:axId val="1443207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37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PMS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Sheet4!$B$2:$B$39</c:f>
              <c:numCache>
                <c:formatCode>General</c:formatCode>
                <c:ptCount val="38"/>
                <c:pt idx="0">
                  <c:v>1247.8383212781428</c:v>
                </c:pt>
                <c:pt idx="1">
                  <c:v>1268.490545484879</c:v>
                </c:pt>
                <c:pt idx="2">
                  <c:v>1350.7321650796703</c:v>
                </c:pt>
                <c:pt idx="3">
                  <c:v>1301.5161371166655</c:v>
                </c:pt>
                <c:pt idx="4">
                  <c:v>1441.2242798133802</c:v>
                </c:pt>
                <c:pt idx="5">
                  <c:v>1290.4728792180795</c:v>
                </c:pt>
                <c:pt idx="6">
                  <c:v>1252.4847963316722</c:v>
                </c:pt>
                <c:pt idx="7">
                  <c:v>1303.6794292396801</c:v>
                </c:pt>
                <c:pt idx="8">
                  <c:v>1375.16229181218</c:v>
                </c:pt>
                <c:pt idx="9">
                  <c:v>1365.0226376598357</c:v>
                </c:pt>
                <c:pt idx="10">
                  <c:v>1279.6018592146163</c:v>
                </c:pt>
                <c:pt idx="11">
                  <c:v>1287.9259111482986</c:v>
                </c:pt>
                <c:pt idx="12">
                  <c:v>1315.0849964610979</c:v>
                </c:pt>
                <c:pt idx="13">
                  <c:v>1246.1584492537261</c:v>
                </c:pt>
                <c:pt idx="14">
                  <c:v>1308.2152442462375</c:v>
                </c:pt>
                <c:pt idx="15">
                  <c:v>1334.8319859677281</c:v>
                </c:pt>
                <c:pt idx="16">
                  <c:v>1291.0984925442067</c:v>
                </c:pt>
                <c:pt idx="17">
                  <c:v>1270.0622189492019</c:v>
                </c:pt>
                <c:pt idx="18">
                  <c:v>1193.3979999999999</c:v>
                </c:pt>
                <c:pt idx="19">
                  <c:v>1280.1399870269354</c:v>
                </c:pt>
                <c:pt idx="20">
                  <c:v>1356.4050026719995</c:v>
                </c:pt>
                <c:pt idx="21">
                  <c:v>1337.2598090124986</c:v>
                </c:pt>
                <c:pt idx="22">
                  <c:v>1217.24</c:v>
                </c:pt>
                <c:pt idx="23">
                  <c:v>1224.2773826855569</c:v>
                </c:pt>
                <c:pt idx="24">
                  <c:v>1162.7059656525198</c:v>
                </c:pt>
                <c:pt idx="25">
                  <c:v>1213.7957316349139</c:v>
                </c:pt>
                <c:pt idx="26">
                  <c:v>1328.4224461270396</c:v>
                </c:pt>
                <c:pt idx="27">
                  <c:v>1169.7818393190885</c:v>
                </c:pt>
                <c:pt idx="28">
                  <c:v>1287.8252196603446</c:v>
                </c:pt>
                <c:pt idx="29">
                  <c:v>1256.9570215394829</c:v>
                </c:pt>
                <c:pt idx="30">
                  <c:v>1271.3053739558022</c:v>
                </c:pt>
                <c:pt idx="31">
                  <c:v>1252.4481732820404</c:v>
                </c:pt>
                <c:pt idx="32">
                  <c:v>1247.8375532391431</c:v>
                </c:pt>
                <c:pt idx="33">
                  <c:v>1377.5542414974232</c:v>
                </c:pt>
                <c:pt idx="34">
                  <c:v>1305.7440770852045</c:v>
                </c:pt>
                <c:pt idx="35">
                  <c:v>1362.0517668263194</c:v>
                </c:pt>
                <c:pt idx="36">
                  <c:v>1301.3054876896451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C-4CAB-80F4-24F77FB10327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Bus journey within  city (March)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Sheet4!$C$2:$C$39</c:f>
              <c:numCache>
                <c:formatCode>0.00</c:formatCode>
                <c:ptCount val="38"/>
                <c:pt idx="0">
                  <c:v>850.17713142670004</c:v>
                </c:pt>
                <c:pt idx="1">
                  <c:v>1353.9718618078193</c:v>
                </c:pt>
                <c:pt idx="2">
                  <c:v>911.16</c:v>
                </c:pt>
                <c:pt idx="3">
                  <c:v>1375.0771199678099</c:v>
                </c:pt>
                <c:pt idx="4">
                  <c:v>1289.926125</c:v>
                </c:pt>
                <c:pt idx="5">
                  <c:v>1413.1364394241798</c:v>
                </c:pt>
                <c:pt idx="6">
                  <c:v>1273.7551000000001</c:v>
                </c:pt>
                <c:pt idx="7">
                  <c:v>1573.8280192109567</c:v>
                </c:pt>
                <c:pt idx="8">
                  <c:v>1499.78672901046</c:v>
                </c:pt>
                <c:pt idx="9">
                  <c:v>1474.2036617553299</c:v>
                </c:pt>
                <c:pt idx="10">
                  <c:v>1480.3207273764899</c:v>
                </c:pt>
                <c:pt idx="11">
                  <c:v>1362.0481337465999</c:v>
                </c:pt>
                <c:pt idx="12">
                  <c:v>1398.7476785321101</c:v>
                </c:pt>
                <c:pt idx="13">
                  <c:v>1353.73451172662</c:v>
                </c:pt>
                <c:pt idx="14">
                  <c:v>1561.1163833112078</c:v>
                </c:pt>
                <c:pt idx="15">
                  <c:v>1312.89545292909</c:v>
                </c:pt>
                <c:pt idx="16">
                  <c:v>1390.0278951222299</c:v>
                </c:pt>
                <c:pt idx="17">
                  <c:v>1208.3887777190955</c:v>
                </c:pt>
                <c:pt idx="18">
                  <c:v>1467.1440000000002</c:v>
                </c:pt>
                <c:pt idx="19">
                  <c:v>1046.31441188803</c:v>
                </c:pt>
                <c:pt idx="20">
                  <c:v>1398.1538953059014</c:v>
                </c:pt>
                <c:pt idx="21">
                  <c:v>1281.0814077513999</c:v>
                </c:pt>
                <c:pt idx="22">
                  <c:v>1326.6622790905201</c:v>
                </c:pt>
                <c:pt idx="23">
                  <c:v>1474.9574613555901</c:v>
                </c:pt>
                <c:pt idx="24">
                  <c:v>1694.47260379457</c:v>
                </c:pt>
                <c:pt idx="25">
                  <c:v>1484.3033859534</c:v>
                </c:pt>
                <c:pt idx="26">
                  <c:v>1313.06534984427</c:v>
                </c:pt>
                <c:pt idx="27">
                  <c:v>1489.5637070072601</c:v>
                </c:pt>
                <c:pt idx="28">
                  <c:v>1491.8289500000001</c:v>
                </c:pt>
                <c:pt idx="29">
                  <c:v>1594.4481432384234</c:v>
                </c:pt>
                <c:pt idx="30">
                  <c:v>1375.1703532815161</c:v>
                </c:pt>
                <c:pt idx="31">
                  <c:v>1301.8763946824799</c:v>
                </c:pt>
                <c:pt idx="32">
                  <c:v>1088.28292157445</c:v>
                </c:pt>
                <c:pt idx="33">
                  <c:v>1117.6198845165</c:v>
                </c:pt>
                <c:pt idx="34">
                  <c:v>1678.2087822682799</c:v>
                </c:pt>
                <c:pt idx="35">
                  <c:v>1391.8475438803575</c:v>
                </c:pt>
                <c:pt idx="36">
                  <c:v>1721.7745986648602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C-4CAB-80F4-24F77FB10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788127"/>
        <c:axId val="1443207599"/>
      </c:lineChart>
      <c:catAx>
        <c:axId val="1443788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3207599"/>
        <c:crosses val="autoZero"/>
        <c:auto val="1"/>
        <c:lblAlgn val="ctr"/>
        <c:lblOffset val="100"/>
        <c:noMultiLvlLbl val="0"/>
      </c:catAx>
      <c:valAx>
        <c:axId val="14432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37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PMS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42-4C8C-AF34-26490372F284}"/>
                </c:ext>
              </c:extLst>
            </c:dLbl>
            <c:dLbl>
              <c:idx val="23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42-4C8C-AF34-26490372F284}"/>
                </c:ext>
              </c:extLst>
            </c:dLbl>
            <c:dLbl>
              <c:idx val="3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42-4C8C-AF34-26490372F284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Sheet4!$A$2:$A$39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Sheet4!$B$2:$B$39</c:f>
              <c:numCache>
                <c:formatCode>General</c:formatCode>
                <c:ptCount val="38"/>
                <c:pt idx="0">
                  <c:v>1247.8383212781428</c:v>
                </c:pt>
                <c:pt idx="1">
                  <c:v>1268.490545484879</c:v>
                </c:pt>
                <c:pt idx="2">
                  <c:v>1350.7321650796703</c:v>
                </c:pt>
                <c:pt idx="3">
                  <c:v>1301.5161371166655</c:v>
                </c:pt>
                <c:pt idx="4">
                  <c:v>1441.2242798133802</c:v>
                </c:pt>
                <c:pt idx="5">
                  <c:v>1290.4728792180795</c:v>
                </c:pt>
                <c:pt idx="6">
                  <c:v>1252.4847963316722</c:v>
                </c:pt>
                <c:pt idx="7">
                  <c:v>1303.6794292396801</c:v>
                </c:pt>
                <c:pt idx="8">
                  <c:v>1375.16229181218</c:v>
                </c:pt>
                <c:pt idx="9">
                  <c:v>1365.0226376598357</c:v>
                </c:pt>
                <c:pt idx="10">
                  <c:v>1279.6018592146163</c:v>
                </c:pt>
                <c:pt idx="11">
                  <c:v>1287.9259111482986</c:v>
                </c:pt>
                <c:pt idx="12">
                  <c:v>1315.0849964610979</c:v>
                </c:pt>
                <c:pt idx="13">
                  <c:v>1246.1584492537261</c:v>
                </c:pt>
                <c:pt idx="14">
                  <c:v>1308.2152442462375</c:v>
                </c:pt>
                <c:pt idx="15">
                  <c:v>1334.8319859677281</c:v>
                </c:pt>
                <c:pt idx="16">
                  <c:v>1291.0984925442067</c:v>
                </c:pt>
                <c:pt idx="17">
                  <c:v>1270.0622189492019</c:v>
                </c:pt>
                <c:pt idx="18">
                  <c:v>1193.3979999999999</c:v>
                </c:pt>
                <c:pt idx="19">
                  <c:v>1280.1399870269354</c:v>
                </c:pt>
                <c:pt idx="20">
                  <c:v>1356.4050026719995</c:v>
                </c:pt>
                <c:pt idx="21">
                  <c:v>1337.2598090124986</c:v>
                </c:pt>
                <c:pt idx="22">
                  <c:v>1217.24</c:v>
                </c:pt>
                <c:pt idx="23">
                  <c:v>1224.2773826855569</c:v>
                </c:pt>
                <c:pt idx="24">
                  <c:v>1162.7059656525198</c:v>
                </c:pt>
                <c:pt idx="25">
                  <c:v>1213.7957316349139</c:v>
                </c:pt>
                <c:pt idx="26">
                  <c:v>1328.4224461270396</c:v>
                </c:pt>
                <c:pt idx="27">
                  <c:v>1169.7818393190885</c:v>
                </c:pt>
                <c:pt idx="28">
                  <c:v>1287.8252196603446</c:v>
                </c:pt>
                <c:pt idx="29">
                  <c:v>1256.9570215394829</c:v>
                </c:pt>
                <c:pt idx="30">
                  <c:v>1271.3053739558022</c:v>
                </c:pt>
                <c:pt idx="31">
                  <c:v>1252.4481732820404</c:v>
                </c:pt>
                <c:pt idx="32">
                  <c:v>1247.8375532391431</c:v>
                </c:pt>
                <c:pt idx="33">
                  <c:v>1377.5542414974232</c:v>
                </c:pt>
                <c:pt idx="34">
                  <c:v>1305.7440770852045</c:v>
                </c:pt>
                <c:pt idx="35">
                  <c:v>1362.0517668263194</c:v>
                </c:pt>
                <c:pt idx="36">
                  <c:v>1301.3054876896451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2-4C8C-AF34-26490372F284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Bus journey within  city (March)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42-4C8C-AF34-26490372F284}"/>
                </c:ext>
              </c:extLst>
            </c:dLbl>
            <c:dLbl>
              <c:idx val="1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42-4C8C-AF34-26490372F284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Sheet4!$A$2:$A$39</c:f>
              <c:strCache>
                <c:ptCount val="37"/>
                <c:pt idx="0">
                  <c:v>Abia</c:v>
                </c:pt>
                <c:pt idx="1">
                  <c:v>Federal Capital Territory</c:v>
                </c:pt>
                <c:pt idx="2">
                  <c:v>Adamawa</c:v>
                </c:pt>
                <c:pt idx="3">
                  <c:v>Akwa Ibom</c:v>
                </c:pt>
                <c:pt idx="4">
                  <c:v>Anambra</c:v>
                </c:pt>
                <c:pt idx="5">
                  <c:v>Bauchi</c:v>
                </c:pt>
                <c:pt idx="6">
                  <c:v>Bayelsa</c:v>
                </c:pt>
                <c:pt idx="7">
                  <c:v>Benue</c:v>
                </c:pt>
                <c:pt idx="8">
                  <c:v>Borno</c:v>
                </c:pt>
                <c:pt idx="9">
                  <c:v>Cross River</c:v>
                </c:pt>
                <c:pt idx="10">
                  <c:v>Delta</c:v>
                </c:pt>
                <c:pt idx="11">
                  <c:v>Ebonyi</c:v>
                </c:pt>
                <c:pt idx="12">
                  <c:v>Edo</c:v>
                </c:pt>
                <c:pt idx="13">
                  <c:v>Ekiti</c:v>
                </c:pt>
                <c:pt idx="14">
                  <c:v>Enugu</c:v>
                </c:pt>
                <c:pt idx="15">
                  <c:v>Gombe</c:v>
                </c:pt>
                <c:pt idx="16">
                  <c:v>Imo</c:v>
                </c:pt>
                <c:pt idx="17">
                  <c:v>Jigawa</c:v>
                </c:pt>
                <c:pt idx="18">
                  <c:v>Kaduna</c:v>
                </c:pt>
                <c:pt idx="19">
                  <c:v>Kano</c:v>
                </c:pt>
                <c:pt idx="20">
                  <c:v>Katsina</c:v>
                </c:pt>
                <c:pt idx="21">
                  <c:v>Kebbi</c:v>
                </c:pt>
                <c:pt idx="22">
                  <c:v>Kogi</c:v>
                </c:pt>
                <c:pt idx="23">
                  <c:v>Kwara</c:v>
                </c:pt>
                <c:pt idx="24">
                  <c:v>Lagos</c:v>
                </c:pt>
                <c:pt idx="25">
                  <c:v>Nasarawa</c:v>
                </c:pt>
                <c:pt idx="26">
                  <c:v>Niger</c:v>
                </c:pt>
                <c:pt idx="27">
                  <c:v>Ogun</c:v>
                </c:pt>
                <c:pt idx="28">
                  <c:v>Ondo</c:v>
                </c:pt>
                <c:pt idx="29">
                  <c:v>Osun</c:v>
                </c:pt>
                <c:pt idx="30">
                  <c:v>Oyo</c:v>
                </c:pt>
                <c:pt idx="31">
                  <c:v>Plateau</c:v>
                </c:pt>
                <c:pt idx="32">
                  <c:v>Rivers</c:v>
                </c:pt>
                <c:pt idx="33">
                  <c:v>Sokoto</c:v>
                </c:pt>
                <c:pt idx="34">
                  <c:v>Taraba</c:v>
                </c:pt>
                <c:pt idx="35">
                  <c:v>Yobe</c:v>
                </c:pt>
                <c:pt idx="36">
                  <c:v>Zamfara</c:v>
                </c:pt>
              </c:strCache>
            </c:strRef>
          </c:cat>
          <c:val>
            <c:numRef>
              <c:f>Sheet4!$C$2:$C$39</c:f>
              <c:numCache>
                <c:formatCode>0.00</c:formatCode>
                <c:ptCount val="38"/>
                <c:pt idx="0">
                  <c:v>850.17713142670004</c:v>
                </c:pt>
                <c:pt idx="1">
                  <c:v>1353.9718618078193</c:v>
                </c:pt>
                <c:pt idx="2">
                  <c:v>911.16</c:v>
                </c:pt>
                <c:pt idx="3">
                  <c:v>1375.0771199678099</c:v>
                </c:pt>
                <c:pt idx="4">
                  <c:v>1289.926125</c:v>
                </c:pt>
                <c:pt idx="5">
                  <c:v>1413.1364394241798</c:v>
                </c:pt>
                <c:pt idx="6">
                  <c:v>1273.7551000000001</c:v>
                </c:pt>
                <c:pt idx="7">
                  <c:v>1573.8280192109567</c:v>
                </c:pt>
                <c:pt idx="8">
                  <c:v>1499.78672901046</c:v>
                </c:pt>
                <c:pt idx="9">
                  <c:v>1474.2036617553299</c:v>
                </c:pt>
                <c:pt idx="10">
                  <c:v>1480.3207273764899</c:v>
                </c:pt>
                <c:pt idx="11">
                  <c:v>1362.0481337465999</c:v>
                </c:pt>
                <c:pt idx="12">
                  <c:v>1398.7476785321101</c:v>
                </c:pt>
                <c:pt idx="13">
                  <c:v>1353.73451172662</c:v>
                </c:pt>
                <c:pt idx="14">
                  <c:v>1561.1163833112078</c:v>
                </c:pt>
                <c:pt idx="15">
                  <c:v>1312.89545292909</c:v>
                </c:pt>
                <c:pt idx="16">
                  <c:v>1390.0278951222299</c:v>
                </c:pt>
                <c:pt idx="17">
                  <c:v>1208.3887777190955</c:v>
                </c:pt>
                <c:pt idx="18">
                  <c:v>1467.1440000000002</c:v>
                </c:pt>
                <c:pt idx="19">
                  <c:v>1046.31441188803</c:v>
                </c:pt>
                <c:pt idx="20">
                  <c:v>1398.1538953059014</c:v>
                </c:pt>
                <c:pt idx="21">
                  <c:v>1281.0814077513999</c:v>
                </c:pt>
                <c:pt idx="22">
                  <c:v>1326.6622790905201</c:v>
                </c:pt>
                <c:pt idx="23">
                  <c:v>1474.9574613555901</c:v>
                </c:pt>
                <c:pt idx="24">
                  <c:v>1694.47260379457</c:v>
                </c:pt>
                <c:pt idx="25">
                  <c:v>1484.3033859534</c:v>
                </c:pt>
                <c:pt idx="26">
                  <c:v>1313.06534984427</c:v>
                </c:pt>
                <c:pt idx="27">
                  <c:v>1489.5637070072601</c:v>
                </c:pt>
                <c:pt idx="28">
                  <c:v>1491.8289500000001</c:v>
                </c:pt>
                <c:pt idx="29">
                  <c:v>1594.4481432384234</c:v>
                </c:pt>
                <c:pt idx="30">
                  <c:v>1375.1703532815161</c:v>
                </c:pt>
                <c:pt idx="31">
                  <c:v>1301.8763946824799</c:v>
                </c:pt>
                <c:pt idx="32">
                  <c:v>1088.28292157445</c:v>
                </c:pt>
                <c:pt idx="33">
                  <c:v>1117.6198845165</c:v>
                </c:pt>
                <c:pt idx="34">
                  <c:v>1678.2087822682799</c:v>
                </c:pt>
                <c:pt idx="35">
                  <c:v>1391.8475438803575</c:v>
                </c:pt>
                <c:pt idx="36">
                  <c:v>1721.7745986648602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2-4C8C-AF34-26490372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894815"/>
        <c:axId val="1510107775"/>
      </c:lineChart>
      <c:catAx>
        <c:axId val="14438948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0107775"/>
        <c:crosses val="autoZero"/>
        <c:auto val="1"/>
        <c:lblAlgn val="ctr"/>
        <c:lblOffset val="100"/>
        <c:noMultiLvlLbl val="0"/>
      </c:catAx>
      <c:valAx>
        <c:axId val="1510107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38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PMS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PMS DISTRIBUTION</a:t>
          </a:r>
        </a:p>
      </cx:txPr>
    </cx:title>
    <cx:plotArea>
      <cx:plotAreaRegion>
        <cx:series layoutId="regionMap" uniqueId="{39FAB373-B514-40CF-955B-4213E024E3F4}">
          <cx:tx>
            <cx:txData>
              <cx:f>_xlchart.v5.2</cx:f>
              <cx:v>January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5H1pcxs5su1fcfjzKzV2FCamJ2JQJLVLbnn3lwpaklGoDbWg1l9/k5ZokxxP32iN3otRPE2EeywQ
JIhTmXnyZAL+++34t9v8ft28Gou8bP92O/7+OvG++ttvv7W3yX2xbo8Ke9u41n3zR7eu+M19+2Zv
73+7a9aDLc1vBGH2222ybvz9+Poff4d3M/fuwt2uvXXlH919M93ct13u2z8Z++XQq/VdYcuFbX1j
bz3+/fU/v9r161f3pbd+ejdV97+/3nvF61e/Hb7Pv3zmqxyW5bs7mMuPGGdIcSrQww95/Sp3pXkc
lkccc4qE4o/DdPvRV+sCpm8W8+qtX/v77e9/taTvC1rf3TX3bQvf5/t/9+fufYX9oVvXlX6zfQZ2
8vfXV9bcN5sdsK2LHoYit/kmV8ffv/pv+1v/j78f/AI24+A3O+gc7tz/NvSv4JTr4mvzjPiII4JD
iqkI1cOP2MNHHAF0OGSYPuLDtjg84vOwnidDtD/9EKX90RcF1Lt1s/76jDiFR+AAMKWMPeK0b0cY
HUkqBaUSPwCF93F6WM5TYdqffYDS/uCLAuncGbvdp1/5lb/m6uSRVEyBnyM/bWXH1YkjEcL/hAQL
e/CuDya0WcRTgdmdewDL7tCLAkWvu9vkGWEB0xCEhCRk4Q/T2IEFhhEJpeQELGoXl4d1PBWZ/dkH
2OwPvih0Vvd39806fxWtK+vhv+/um8Z610zbzfvP7Sg8goCECaGPnk6pvZAkj7AkTEhCfkasXdye
tMJfM4g/easDRP/klS8K3vN16Z4PSYyPQsVCqsg+hOER8EGIZnhLOg5Y32YVTzW83bkHIO0OvShU
9Hq6z9tnZBPsSAqiZMi3bELumZjYuMRQSbkl7Qes73E9T4XoYPoBSgejLwqof96ti/XwjEApyI8A
KMm3vhAsZTd4kSMahjgM6fYFW+N94BaP63kqUAfTD4A6GH1ZQGXD+tXpV1ds9+s/D1vsSDEUCioe
GTgCCr4DlTyCLIoQweUjlOH2ox+h2q7oyWAdvsEhXIfjLwqw67Yrtxv2n2MFsgMLGWI/st79+MSO
GDhHCmj+mmJsFvNUmHbnHiC0O/SiwNH3ZfenAs1fTaQoR1wytqUH+5pEeCSlBMrODizo+yqeCsve
5ANc9sZeFDDnA8gQz2c2G2YuZKggJD387NMGdiRECGkW3/GAu8z8+2qeCtDe5AOA9sZeFEDaNc9K
uMkRDiWnaj/2YHoEzgwhyrbAbZ+Jh9jzfRVPBWZv8gEwe2MvCpgIpPj21Y3t75vtXv3nYYcfhUJi
JfihQ+MEMfBp6lE44tuPfIBnZy1PBekXb3EA1S9e8aIAW9zn/hldHT/iREJhAu3QtR02J0CEAD4n
4CUPPwcZ0vfVPBWsvckHMO2NvSiAll9dOdntk/2fGxNAoJRQWMpHCPZTIxDMKRAIhLfDB7Lrw3Ke
CtH+7AOM9gdfFEjX5jlpNlSPZBhCxrMlcsDYdoyIHjEagjZEt4L5gQK7WcxTAdqdewDP7tCLAmd5
94zaHJQjkIRs9Acl2OdyHKAjRGLGHq0LGMUul4O1PBWanakHyOyMvCxgMuuf0bNBIWlTj4XQ8zO4
7JgNP4LIFFLyWM5AG6FhD5rNap4Mzu7kQ3h2x14WQGVnuu0uPUfo4ZuGBkW3sWW/GCuPGGbAHfBW
lDtIVJeb1TwZoN3JhwDtjr0ogI5d8fUZFQQo6oGFIKQOEyF8RBDQbxEe2Mz3z38qJHuTDyDZG3tR
kJwWzxhtgE6HXDEORvPws58BySMkBORFB6jAEp6Kyc7UA0R2Rl4UHv+EVHRt/lcj+b/YfPS9Ner5
vKg6AuYnQGTdI4X8CB4DjEK5Lf8CL9mNbt8X8dSnYm/ywXOxN/ainowza5616IShqkQ4oYLux7VN
MQpRosi2angQ1x7W8VRs9mcfgLM/+F+Nzr9b3MND/EA+9l7zFzsqFRB3kPK42JIPUIt22KE82jhY
CTLgT/L4L/Zz2OG5v55fN0N8t4/NxL0X/7c3TJ6v77oSFr27+3vP1l/c/e/MgnBK8L5tQHmPU0oI
3wY4qCjtbvvDOp5qG/uz99b/++v9wZeFzv3Xr8+YOEG/yUaT45L/stWLHWEkoR15K4Krg9ByvlnN
kyHanXyI0O7YywJo7Vv7rPZDjriAYgTZuiegfHveSxAkd2TXQ4ge1vNkkPanH8K0P/qigLpYG9du
Xc6zZLhEKETxNtSDO9uBiR5xKUEZ+tGNfMAEvq/mqSDtTT6AaG/sRQF0tW6hFvucvUHhRj6VodgN
OTsYhUeEQtcrB2N6+DnAaLugp8J0OP8AqcPhFwXWZ/esagRUZQmQA0YfBb19nwdRC0DioCZt7feh
7Pe/LeLXNO1h1gEYD798URB8L70+o0djm/4rAX2Nj9aAoGK3Yy0CSrMI+rfkdvygFvGwnKfayv7s
A3D2B18USNflc5YkQAUiSIkQ7OTxZw8ifoQg6WFSbdtLoOC3S7E3i3kqQLtzD+DZHXpZ4EzPKOBB
NMHQisoRRJEdswEiIBgJ1aGeej09HYqfUw+R+DnyooB4A8ch79fPWH9QYAkhHAWDFsaHn/1cFBSC
kAgCvaj7BvK4jqfayMH0A3AORv9TgPZPWb76eaAUjn/ACStw5DvFlZ0HkhwJOG4KZcuDhozt8hb3
FZyhLcBvbPfmV2T516H1V+/xb3Zh92MOtgK6CS20sh4eL9Vn/wXHS9+6zPln9BrQeAZlMIw3tcyH
nz3vwY8ohnNXIGY9jh70aDws56nP6/7sA6D2Bw8g+iF1HYL0X3EG+Mu6+PasbZ2g96LvxWZyyIkY
BlOi0Gfz8HNAUB8X8lR8DqYfAHQw+v8WoX9fRPlx1n2x9uvl90PyO4e4/3z0u1eBY/sHU/e0yb3v
uXVRp3e/v8YSdN4fR+83b7FHfn48sg+M6MeM+3XrYTK05koJ9WgKRetQgsTy+tVwvxkBf7npdIdC
KfRbKwUh/vWr0jU+gUn0CJp3BDSTKgSNbpBLvn7Vum4zxKAFAag09PUAGwOlGWZtv9wbl0/GlT92
4vHvr8queONs6dvfX8NxzNevqofXbRYKTXSgnIIwB93DUGGQMoTlVbfrG7j4AF6O/4/MW8LSLtZ5
n9pqPJ7QmOaaEofU6ZyjKbyqpCmtHnubJZedl94vqM+b9jQ1Y5hFTSVKEY1ENO9kV9p2UWWDGa6V
44nRAbc1sdp0NQrPKo/LVGlGCMkdzMgQXeC2mhNdFyiwq4zIJj2RE0t5VKHUiUtWtgOK4CsHTjcW
dVwXPpiwdgJ2KurHVKZ6DLArtaCYjbrNXeZ112b0kvEk+DIHVnBddwPKNedyumStMl+y1NI0ogWZ
+qgURQXvV7B40GzIbK6z0MjqhAU+KTTLhmKO0pikNqJDqprFJEZf6ySVg9feJjVd0V44sRTIVi4K
6kxMJ6xk+SclM3LFEubw0pvcXDezV+sEh/yTMz68q2KimqideGd10rR9pqeuw+JTTOAjPxpce65T
NozF5URyVZwNfZb3unQklouOIxaesryc3Fs6p8Iv5moeyDKTs2ojWclwXqI+iROd8i784FxL8Vvu
km6+5GnTXSgRhyNgGORVqW3bzWd5HdftddvGKD8laRd6XQmSnRNBR69dO4yfShOH3apWYTK0uh/L
+INL0p6tBhUkxUkbJw3VRtQpXda2rb82U+mwnutQ3iaijJMIkYl9GAruPyPrA77EeeaPu7Cu6iip
yvC2jZ1rFulgh/a4mTM+RAgXjuky5AXSYWia85TzYNBYdBNfNamQU5Qx2+YaTaKXGkyAymjEsKxj
3oqx103dtSfeBcFd0gd20ONg7TmO2+Qm8Lb9BjTmvbemynTSYkSi3IdVpfM0tG+7wZUWNiirV3mO
RxoFc9MEWsyEfiRuzLDOGComLSfObzrWp0T3aYdMZJN8rnSfCxXomAwt0X4sxk9jCapsNNZdeUt8
YJsopB4XehZ8/qPOBYe1YWyLFaEuLHVe9nMWgZzR3CekiG/joSivJWX4q0Vzmq9a48ZBd7Iu+4Xo
Y57Bn3b4EoLl1xp1iDTHMYq7SttJUae7sZzXLODVdU95Z3RdN+Oss96FfoGamCsdJrWbdUJs6s6I
b2irLSLORoa3dNAoHiakiZ3x/CnPTHxbDJjJ46pwpDznYWcqeHSLqn1bGsKShYyVtbr3JHuDU05u
4qnKLnAw+3iRNBm6q+uezCtjxVjotk/DTyk34g8vvPrkpMxL3VdY2lOXU+9OkyEvruvcoUwXOYkZ
mJxMq0j50NyTdkJG86YOEQwOM4naOpwKzakbTBSPY/5+SEyiwJUlc/c+dbn53KUbfFSeWqYnj0O0
ENMArm+0OcE6F6PLdULDGpwUNvWlCtPiPSLwactYptOHeRpoct0XbSPgORRddtOMrIkXFAUiW8Th
bE4YSerhWMBRNL80jRjzJU+HZoq62jGzoEFegEHVokG6tCy3WsWFaXXWSUV0oDpaLViJi2JR9WmC
VuCjk04bl22+nbKBWwTM9TV8395etgGhTDssVKbxHFbxImxoLFaTDPrPAZLuc8Fq0ulhCKpeBzUx
w8KPls4678IphT+NH7WQrbjO23L42oa+Oa9GM+faKF56nU3VWC1awegNPLAjXk5xkSttGEuGpZ1q
kS8sVwQtKjC4UlM6+yGKWUfLaBJhOiylrKrkOk5QctpkXTbrmUhzY+ui93qM525Vkhp8cs0AgnDK
g0IXpm6Ly3gWpTv3RZ4Wup5S0y0ZxKBOZzNPi1UYF14tRVyUX2xYw0PRWTOWka+VvGnjIJ41r0Qi
FrmHeAeP9Wg/W4tsFzVticKFAlN7x5jwrZ5j6s7iguB2mZmQp5FhVew1eFOENMSMrtFTTXiofVB4
A0aaB/UiN8622qWk+GDbJC4X0iOOdQ1/TBEaUfWBWKeCqOkyePh6i8okysuCf058kpkod7FdNCKd
k2WNq6TS0GPN7kZlUa0h1qefQx4LVJ6yoeXD8CEWBRi0FkmD7wZflFfdPNtMEzzLU95mRX8cW5J9
S0eSX/FR8PcksPPnvCPNbRKAL4wm58Qdbrsg1pND6MPoUjVp2jbuGzM8OR5n6c5zPM9fLCbdpYpx
7XQSO6p0VaeNW9R1brPI1g7fTH7GHwVPTaIL6TKlB5j9Ka7p4DRTZL7JbDB/ywLfn2EJbiBqLPPH
Q57OXZT0Ul0zUthJp9BVyXXfkDrRqE5cr33S41PeSXhmuiET4BrBaKyOu6GnYCi9eJeZAGVR1sSy
13nMfL1iqam6BRubodA9z9BlktfJbTsGWajHuqIs4nk+hX8YOuM8ai3c33LVwqVQJgpMOEyZHtOy
UBhifG/pOlPIJzBx9rg7H4gpxjfzXPCx0kQMXXhhFO6zC2GCPoXIMs5x+U7k1meLIUwZPAOZHOOT
LgsaNGhlCoRPp4Dn6I9mqkMcSdbkxQJaglW5yAStLkNXh/l56RPRaDmn+FaGZhju8DSZ+sLlcR4s
wAMX4Jly1dnFNGQx3cyc5iifEvrV5EE6RBRNRRuDK2KxX9SdjePFPHoUn7bd1CUfxewDtmyDtkzf
+akv3SKPU5SexHYwwmoBXh5HBZ9gY5QnE8A+t338pWOspUs0lIqduM6F0ule5T0LwXHlqi5XDec9
uq8zcGM6gF5ZdDyJNBjmRa8484PmYcHCC2V9PH3zakTZVQsOoll5WoTNpc2May5jlKXqNFEZnvmy
AG4xDosZlShfJUPVyXOTpdREbDbOXJCe5eara4JGLRI/IoAp5YWPLIthoSTp4uFkjDtGR12MhrK7
bvRdfmayfsrewOluNEcN0OnguGxrj87iaurrCE3w7J7kdVCLVY3mLI/gMXU0orOw+EOLZmKPTS2B
CsODzMf3YZ+WoS45H2ytU1LX8rMaMP40xsFIjouwi7+hDk7wHZdZKibwEtlEdBEjlGoyw8O88H3R
+VVY99KflHmTTaew51kXTai3bSSatPbXKTie/DxJSXcfAI2+DMdYfpHlhOQKh1NmV7hpW3JMw15N
ywGkDhLNEsdz5LgwfDHP0oawab27qsI2oMupw6iKnODGXATwxfJIBhRPOgSqPeqmkvVX8Am2W/G+
DeFRx8iyyNChD6+97MDMcZhTt2RAO2pga52hEN9J3S2hyRN9qynKgMErWwL/zuaaLkVHaqJdmWTx
QmA55sBBep8fA0Fgja75CPYWKw5er4K4+Z4pq+D/Ula/cwzY9KqbpOdRMwysjYoYj2JZSZveVM2U
fCuJSLMo70VXaDWy6dxXcVHrFii1X7hSMgMH4trO6bYWg9KNKkR4hhMDW9xIlHwMcCWrqBMmQ5Gn
TVpEJe8yoCp1hpI3tGtMd1pyZ0egt1PnztmQ16meknhy0TwEaXmiBlfJKCvTmem+67Lysh4bkWiX
hzU5z5Sbcti8JkiWfSd7G6UOD8EiQICClonI+JK5OUyiDN4sX6CuTuLIsyZrdVpNZReZoZ3kYkiT
YdKoVcNtH8w5sOg2cfemsrla1nFZp1+rvGJTs6hNAMnF1NpqXswCt26Oaif7sIuo8aLJtOt9N9Z6
5rLC/QrSDsXzheSG8FiXIw3i5TRRT6IsK6W8DsHnx2dz6dPmSjbFmH6UfBi7OCobmuIqaoD8s3dA
PVMKBKGpCj9Hu6raXm5666qpsSZ5vDLvx1//cbm9h+/7RW4/f7+5dO/n366r+/Ktb+7v/eW6Onzl
Rj/48dKfN8JtsvYf18MdqAAP1/dts+i/MrinH+ypKHv6gcDAvhmD1Prfqwh7J513lISfcx/0BAXK
ABMQTyUIA5TCrm/1BDhZT9GmIs2gg3NzwB5Eg0c9ITzCPAQqKBloCnDuh//UE8QRY3hzTgjEBMI3
rcJ/RU8gmz7FXT2BwIKQ2NxuAmf8QQnffOldPQEyoaxhBVriuHNLoPjpZW9t5aOib+w58ChgtIzk
XyD/LIER+y50y8DQgK6UbD3krwGFMD7nbR1hr4rqIkmAaHtTth9HqLaXi7ysTPtOtlytUVkUQyRV
kGJNQbeIT4cuDxNdUrCn1VAELj3xzAB1TEuL+rMKQr7JdTCU2CyKns+dLpss7965NHf0Gx2HLlnm
rmuXSTh1Jz4G9fR88nW2lIGKj8OqLexJ34jyVKrcfEryQqKzibGp0mkdD+SUYxHPF6y3iYFELuNt
sjINU6d5KPLxuA36hCwpTg1eGseGjaggpv4S7qyUdaQY+FmIx/EInqyOQxT12djmX0KvrARO0gXD
G1/YNLwqkUnccd33PDkt8jw/MQYF5XE81MO4MknGwfuWFhJDHBQtPaUBy962qgiqZZ61hkZpVtsG
gqjExSKbEvbBcsOjuq1I/mko0ZAvapXU0WSBmS/DvMI3JoZvtmxUhaYFSB+SgHOb5TKvwgqBwyX9
Rwi89WkhNipAXB1L5Pn9FNKiX8ZpgaVOQ57RZRhwNugU1zHRVZDYt96q4Bvtm6Re5gnqBw0JTDdo
cLSAPpvQHzbIyn6pPJ3pdd+2/IRs+J3iWX2KIca+ISyeVyLM6mbBQUydIor7YJU5oy6KkQXTAqSJ
1K6m0kyfA1+YcdG1eXbT5sX4oWsDdNMAy/3qSWzvQD5TSKvEsQ/A8CVdcHhkVjbN4+tBxukZlOem
KG+mZoVTLL6qus0v4jKbfWQIniC9rcY6jYjKkuOu6P4wAXUnpktMlCXmPW+y7ERhb0CiKPJlAyT6
Jqlx/A2rml7iBn8can+boTo/4bhJPpRDkUTOi2o5NGEfgfbhTlHbsJVDHp+mLllnIyY6RlNwMjfk
CpV58UaxdAJCOt2qVORvNx+rMnlbGXyZVfDAp0qhVVN19iIokru44bd1kb+H5DA7bUQxL0I7HzcV
TvrI5079wYcUp1HqZ3Oez2Sqj6txHr/M7dgc0zYuiiWaa/LG92F8Coxn+NhvFiqKdNYmlv6aY5Ne
ZEbkJ2UbXkJmzxvdCztEpMInagr7ZQlZyTEjE6TeMq+bjykk3QZSnbbfUJYussKgRRqycVE1AWxj
nrwvqjRY0BqDRas5y/4Y2jbQIy/B0cxmiJIWUn+jknkRFNRc5AWDaeHYXndJ87GIEwuch0xRDZS/
AxExDD4pM0CkIfySDmpateEwRuVcuw+gAeYrkPNWJp/i6gmB7qWGMOhF+5MQ9v36wP2axHc1/DGG
bfpyHzRxDO0GZHM8GJgiXKypoPj0oInDBSMQ2jDEKDj9CML4pk90q4lD+yL0KMCZVSo4gwu0IPI8
auIKLo2B+KUUESA+MTjp8pdi2OZDDmIYhEq4FxeEe0ah0wuWtxvDcjsxgclwHNKynrSBzOST6wR7
b1qZr1mNyA00f3F6Qqs+OR1byCWuQFcAKQiKAN0XC4kUPysyuEYF1Mk0L08hgWsGTUBOJcdV1iB3
Mhpwzsdh08KoxSyNlylmpAPqWHTRDPoduSoESsJojpO4P2shRZbH7UyyYmm6HnTetIUcIK2BoC6g
79ZNUdKxYD0zjKKaKBCpM6uAcyezRMcDA2dxwpwnGtfcOS0gBxSLKQz7+E3fU5WD3giixXGtjACx
i7agOeAQylOgJqnhS9coE+s5H/w5K5t+2TVAODUICQldtlU9hiejqtLTRI7zEAVjPIBGVw9z8Q51
pQAxPZlroXs5iH5hgTlTHfNuOIbcK0YfcCGb5VSACH4Movd0LAYmyggkc38NZYvmNBuqtD/zVd00
oEtl1VmBRXtTVUF1IRs7xas5iUe2xLweP06kYnjJLKJv02JIN8mYV+0y9Zh+VszJclnGvYqBvaP4
nKeYv0GQVAdvMlALP08mA31GCptdwXWwnVuUqmlibZPErHlSs1K3sPPrjdeLQc8GPQ0qE6yTJzFk
KqtgCPLVEPspchnCiVaBhBjrwFPezaRuPhW2z+fl1KTywuPhHPLzfl74EOo5b/AUgCw7Qa1jHdt5
WPS0pJWGeoOZz8oqkFejJPnXAJS67FRMgawXxZwZ2KO2d2c1w0WlZzg3YqOcoDCCinA66lTW4OL6
oSOzDsU8g9d0qkPgK/NsOi9jE6QaJgZ+xXAjGEBO5lIzUCyj0Tl4GsUk1B9iZuVaWZAA3/J6GtoV
Kk2FPoSBdB9I1ptVEtMZ/D3G7g0t5+4sq4S8KyDlKfRU2vy9MM1ULdMRV3bJoApGomqo09OyTfsu
6mCPgOqYuL9xYEJvZsm7Upd9FxRLIiCJFa2dPqVCeEi6SExBIJU+qorKfqqbtl7XWBkXVW5TQ8HD
CIqls0m5GothUjoTULqKxjwMPvgiEeGyliKZdABKdH6cqbF80zfx0J6XdciczofQH7MR4j9xGxWz
l7m6CsDO38umj0+d8OVicIk4JUPpIKTk4qpndXMTpL36VgI3dAvEfH9XqIRmWoFdLbhxIL7aMDNp
xOc0vkxdPUcebpNbQDmjApcwgRgyeXQXWmb/yNt2EKedzU2hUZp4fNF5TnXlQB2MzezShZ9HwyBl
y5NS10NSnbWG3SVjcdVYSs+BbgxLQqv8LZkElNxCqHpdSQVC4KLMitJp1FTOLWYnjVkSADvQUAEo
z7sSKmW6qHvzAZwyUIqJtOjNaO0U6AII0A1LCeuOM1QEwTWflZ0jEwuTvqUDTz5mqkFes4SwFVjF
kERKBT0/5YD9Ryj0CBOR1qurHmSL9iRjbaO7YcqhQAMSl07pfF8NDW+OkUXoW5NUwc08iPIiCNQc
a57LkSyASFef4jk14AlyUZ5XcF9fH9XJJMCfJgNJVlROyB6LytVgEXl7EozJSQWGJKJABVW9aAwC
KTIznTpxJgnuw2aGYo7xvnnPQa0HTmzjj5MHw38XwBt0sOcW+YVKO9Gdx63vGHAS4zPNCqg2aDOp
szGAPPy0GwrilkVhoP6ZyE7YK5JN9bAa6gIUEUYdiEo2kFDBVJDN1LqMsSG6rfB8lsyue58gVgdL
NoVDo5MhAaXor+fTL5RmkD/NlPebNv8lVd5MfqAZkBAruGwT9GREQeiT4gfNEEeQBsMFGJATw+XE
ezSDww0Am/q6glPmcFwZiu8/aAbb9MxQONsM0R0yb8r5X6EZmEDv8S7N2HwMZPFwZIZJuAlebZa3
SzNGWk7QFpBHvS/RWxA//fuitOElTVP7PpcZgloigZLC6UMFvgxo7i5MH6CPBsisizo7hZBB/7IW
n9kZqnmjnNpotyDfTcp4PfS2ug16Q8SK9HDHJYhRfPyCGzu+9dAqEGs/YZQsQKkt3pi6HJc9BlV4
gcLEcV1OWYWikFeIQOFsHC7HmkwWbCKYoVZPzdxClBkYRCMKj37XQxUompj1oC9mHEoiVQ0haJmo
1H6KU0HXQddAiXcuUB9GcoKbmlYJIUUd8URCOGOmEkynJoXirC1jKOSB4p9HfghIpQVcnW9OeZr7
qEajC3QJIRqt4PTeVC+bvugvIEccQJ0cE2kj51S8JhlmxUqRgcZgdCmQijimwQ3Yeve1rkC81ZjF
mFwpqERVJ6nISkg1pPBv7BBXSbSpA1pNeRJfes/K8hgEBwg8I/bZxdAoENHh6uQ5j6DAIGWUZDNy
eshoUiwSOuWANLgcFqEgLE6qHENka/zoLiaK5tuq9FOzdCBqCh2zahafJgtJiaZ97a9o0nfvmxR8
89KJ2RmNoVDCb1xOiuOSjP28pPUYQ9jri+reZtWmMaIdGGSIEMWyYwSl+UsJgj+PkgLceR3nfRQ3
qPqW+Lj/yDJGP/NuttMqqSCkawIicKDtrMaPJYSFbvHQFfL/jX/apB7/Pg361384YycJ2kzdeicF
GcDmvCg4IrhJaXMC/yEJgj7LjXgGQ+CD4IFhkDg9JkFwPTCDbmBwQQga9yAR+pkEQZc9oQgaxkJ4
Q0akpH/FO8HZ4n3vtLn6lmy8Jhx33fxDIXTjvXYagyB+pYkqWQQNMfIUFeE7C/8Kgp7p/5B3bs1x
22i3/kWcIgiQAC83D31Qt9SSJVmSb1i2ZYMkeAQJ8PDrv8V24nEye1KVfbe/3Exl4shStxrAi7We
tVg0Kel1ngjjh/de69h4XtR4CIKapzUBOeEaUkajGU3sBP2wDzOPxn636odCcwx4i1M+rCvDQcsx
/9VBcyhLW+xMp5ZdPxW7mo7jvu/yO02b1wJSWiQhdiaZM8J2X/lXH+/aYTTFntV1kQBecI9zprzb
ZVS7NRvrD8wpvYfWxXC39OwIKaq87ZBa3MmS50A3hoOL0XWaqpOzlMB4HB6x7VW4q/zUKX6DzYzz
Mj/ptju0AIvOtVMmlNr3YVjyF78qd4NXB7hfeU0EReu0+pkbe0VdgCmQ6064emeJfYPrcyh1v9cD
9vGg1zJuu/U9Kx2ZhDW7WZQEBODQOq3hyr+Yyq3fVL6IN+JJuWc8lPsV90hYtcWO+v2YdNVU3Oas
WPFt1C6AIgaP2tVpFVqQAj57WITXYkIv322oX0JsfAcTDg8hBJ9IZDJL4PkeDJUiZeEKmWT96i9O
unYM74li78JTH2fYld8KZ+li2uTezhmXB7oW/b7qKz8KPFiypGHvrjeXD7zzIWU2PEygGLVRTwcf
rq2/YIDWOs0sNllnWpZ3V0r+STDd7gzppze/k5jIRndIXH8k+JF4e9tjeD81AXnrCRtjsbYKHnFI
MJZ6Krh1CvleFnA77eCvETVDfzfrfo24rN5DnCvv2z8Usm0x4YOIaYzuj7MzlOfQlnMRFRxvyNIv
xafVLZtz1wdexPpG7oO8C5OW6/a+k0sTraoIxihfchx7ZmQfOwjVr6at5puGMZVaZoYkYNY5sJr5
J+1m7GPYh+uBkGx6XAM1PeYrLJWo6nIhk6GfYDoHc/ldheuYNo1YD+FaFHesaOfUW8LhYKsZmI/0
3PI0z+u9rjx9yCV3HoZVzTcZzj3YOdOs8Ap0t3PnDHgZ+Lx7G1C14V3hDpKyyaPKIQ9wi4YINJX7
3hrvi1SOiAje5C+TbmnERw8wUKg8lYZO4x0qqDKpbk23K6bVSQeM3ae+7b2DaZYOtwJoy2ldZdmZ
BJ28aS2oop4uF6/LQPq0GpeFpQxvG8vYyQm0eFtFIR+XAqHt2GZGH3Rm6zgPYJN2YvOrVQbfa35s
bK53Pm+859465JTxEIiGH3YvEAD1QXZ0hDBM36g/92kjVXbgXsnTdsntThCsF239+lUUw2fhjc2e
92K8zye/vOE4NXfaDh2k87BLpmCoIIrLTAIcwFurZNqCq9xtNu1jJiwmjaby47bo8leXFvMNoxkm
b8kDfUB6ub2tgwWgQDfOu8ZOYbJ5AintOnF2wQZ80Pibb0w+qR1x3PIISihLMXpOt7V0g5Qp4A2e
6wwnAuHoqS62lZyb5Y2Kyvuo9di+TrbBXWlubBH1YwDP3BuDFLvXspsEgbFa4398Mr+LYJ73pvLC
hLCBHJ2Beq9r4Aznslr0DQw68VWXWKjCJQYX4zwdG75jZgFRaV6Xpv5aNvMCfEV9dG14oqW8k9gL
/exrvjzMSkUd5ge8/+OTx+xnpgWPLZN3gfai0uR17MHlSH2v+WCIE5zWoL4jc/NtNYA1+AQiYR0b
caStC0G6c/RXatvTP2c4wEH5F8PBj5r6/yqSXnt4foik9F+oJSW4Z2zBOciev48HCC2iTRYkMTLC
VzYY3/B3jdRFE3q4ZbgYLusuIbgL/aaR8n9RWCBe6CNsh7ZTVGz+rfGA/nk8wON08HwqCtkVD3fB
4PGny4tbt7pbaroHgqqwN+VLldqhd29oOYtHQfh0cNZ1vQE4wk58zLNv2uHwrgzpHnqc9Sb2x9Gk
TT3b19af7Kmt/PXuB5EIQhccm+Us1rXpHrFN2HQMBrXPCanydNCWJ9Lv6yczrOygmt75lGlmVfID
VqxcE4ZHZFXqnWoW/7DAaLloybMbOS7VZSX55O5nYf1PeDqb+8G4s8OT3i8q+j1bq3oCFFfpfZuR
sov6wZlvriTjOuLAtnXRpkG/4rjBr2A+DoQPcBwKeaycES6EA4ZurZ3AjSvHel9Ct9PfFiLFK44c
8QzDA6Bc47ZtnQ7ZJBK+NuoOwS9ZYKynIoa/OJzFOqobiFh6gZHJp+8MwOHpF/IR5qX8NuEk6yJs
A/NXJpdj687Fd6gz8/sKregB5Bc7LKxrU78y9AuYBJhqVxpynv0633kLbLld4/pyx6wgd3D2uhsh
F4NLEiV3TNX6Vi/cO0BiI49u33pzXDTcyxLdQFB1W3d5W2fh5RgH59yHVsPquxCQ2fNo1/KD6/pp
Boyjj7en/xxVR3voYU6tIoGjKuKBo+rdFPT47oGejnDz2KX1BFCfAR8S6NmtAhc1snlfSaczG5re
7QtRyY/91AEnojR/XKphSjXU+zYC+9Cn4Vx3eWQC7ryoxnEsRkX7ZvgQvvu9oW8eBkkgGY0/zFHP
XOdrxytvzxROkLXTBEx300xgrjXZ9CxmnpiL6zC4FoXTEWDTww8601QrnFONcTmpuNZvIa0E3LxQ
N1GrKH/r+QTEy6nsmwgzB67rBm22wqyfwkoTIMQsfISmB2VvEqEZotw2T9AiKjDOmTaP1dw1xfHf
BCfoqOJcMQxJIYUMDvWs7Xed9OaP4dAFh8Dvp/MPplMvpZc45Tx9Arzcx3DaPOBqbLoJGjqdqfGc
dG7tucDLOPXdPB5+kJ6q6odd2TZ4OaRTezp7/XtQTn1Eg/kz5gEeoeT1rhEmvFTwU0W0ZIEA3yln
+dlxiv59puqZQr1fo3BaITzTFdoCHPawNbvZaU3ad92wnyHJ8+OICSXRfdM3BzjQA7tvJRSSiDu5
+yFYVr89F1Y7hz7M+l29OEH2VWSdQ+IMIMzJrTvoqbV25vV2moaiAtxj9CPwIq4uow2ZAxBupQ/e
MsCrcGs73Dpk7p74aLSIyyWjOzYAIB/ZVH9ce3I/DqbHtpX7d3rCpXcnKQnmJMtxfT8uZIKEbdZF
ZfGmR9sY1irXkWcnGk+5P+5qZmfnhrWt5DHNw/4OFClIxNpX5M2fet3EtOOjeJh12H/xOX7BGnR3
kUhwSXMKBNndE1dOIKRad9plthlH0GU14GuwmCLrI0+MJUtGvJj2THJcNcy8Vm0Ek3/Yr0NbnYpQ
NuRxnaalS2q//m7azH4pmDHfndk1+qYoVCPuFAucpB2hh6alhN8LEona9ey7XMu0w/a6RyyjAwpu
AEXB2GngyWq4CUeK7dd/cppRmsSjYxOVmV79mDXlAHIWFyRsrlwBhepDsNXR6IntFACwbUF+lBwa
8rJtq41b4E2D7ZS1X8FTyBPL8zKpywHIQC4KApjBd+5qcMnnnvpEJEwCOAfWVRJQx6w7cdH7t3ao
yrTQrDvPo9Pj+pmZcpeFC89jgiEpixX1MwgWfjk/l4vrv9ECYMiQyQ6DkQ93ISmBTL9gziGfpqDK
duD8W2CxkPPxkZpEFvuUs9QPCnC+ddVxFbkA4D6DgvSTbFYQx0BHYQ5siseszLK4dsfugTW8l4nO
BDQe6uoTRnOaGCHnl3/MLLTllv77LPR7qPMPDxn9RSvZvvo3wxgPkqPIO4UM2VMQ51BefxrGPlgj
2LXo3ocQh8zUr8MQmijxRUhfQcWk20MrfhuGxL/wMAWKCC9KB5Cw8v6ekMs3KeSXDBWYJ9/H8wVD
D8PaNpH9aRYananjQ+3s+HzNcZjcVFGjZE6jgikc/bEf9vxkIbMMYxxMvXooEJXqbppg0e8hrIvi
EoxIHiRNMGFDhOqSziDKu12nRf8dBOHyzFcgPIBc1uViXOBKkSgboPp6bcWLEY25WC0fczYCnzcQ
SbIMCGtq4UV+csq+uR+xzE81y5uv5ZCRh870w7tuuBl2zdVmdq+W87S5z1BIYUTDjoYN6NqshH19
Nav7q3FNryY2zrl+itarue35NYzuIJPav+lAuX6aBRZoQjQ2mju2OeSZHhk9+Jtvnl8d9HlkzwwE
/6sga7dExdX98K9OSHF1RaBem+dxs0owhsE18ZcMDkp5dVPaBgk1xGk2l4VeHZdx21rvspzDifGW
BsjqcnVocng1/tW14VcHJ1NsZMiMBMyciAt0J5H55vgsfR4WT/VmBAWbJYSHB+tnELGAS3CEwjLK
SHgYrj6SzDZPqb/6S23QfgfOjwiRDlqIw0snxMGHQIQwSDXkz5KsoHIDCMR7WvddHa+eWZq7Xmwk
lqnr8KGc5/xxVTV/zsjqfOJ9Pj7KpoS2j9CXxQ+2+rirOTwfQa152hzYOg2x8Wh72Z4se3GoRvyr
q5ETiSbf1DousIfKmBakj6fA62+GvnGwmdVNVUY5BIsHNwMafDeVHk+pYd65yXgXJDJbgnt4JfMU
B8tA8UELlf6iEVM6tHlns/OiA4eeDQ+y2xWDMY2zGhGFiAncZxPRMeeskGXl0RR0OMlwIE4I57QV
uVsLO6WV63ZnZYriAiONmiQvNhdzhjGPqE0tcLCDMCgV7pa5elOLqFJmKc7Q2q/yb1OlXSj2bpZy
bwOIVs3MZ2nK7NJrJg/NmslU9XJxY17V5q0aMktSQOgOSb3KKz5kSGUOR8fR0Oh7Va5YjFnQxvh0
cnH5x+zU7C9vrX/xjMX/8N+2v+l3hRtPi0S6GUWjQHm2Usvfd+0AzxFC3jRE8A13UoIR9+euDZYH
vaTARxnbquT4Vm/xc9dmMMsgfjOBRCwaMf7ODXZrJfjjpr1FaBnZWFpch0mwbeq/6Nu285kMyybV
TYClVhZzIC6sp6GJxEBsuYPzpao9w0V6vOEtdd4FLdcsRqDBXw/Lkvlf+AwcL4FxI7BK8mJ5hneS
hTHxuTmb0O/Gg+kdUIx+UA07f7YIH0azGa1M58q9BZaONBqdq/yjJ4PlZKqiOhJcI+9JO7NvzbTm
FCul5F6Uj5I9l70O7lu0T+rdSrzvwBHPJvcChHyEIYjhTc1S6XiayYLbExCi4j6zgSq/W0eS5oSw
RDjoeJn6FV/x9z/2/6vJbd/9qzHm/6jfHmj330UdfP2PJYHBgwHB+eHqwPTdkuW/mz7g1jx0NYDG
xriCaefnkkCDM/ZeF7ScHxD8J1hGv60I9i8G4whP2iAMAXM8uetvgW/b0vp1SWyGNHqi8a18F61Z
+Fn+uCRg4RrTMdi4KJ6Z0qVfHZNmXcuCCPBnJh5thuHiQmiH4LO1RHS4yM3DCbKLOdvZX7+Sa567
UdS9UKFDoKSD45xEu4xdOvPcfUSmMAc6QXGlOOISQr9Vdp1x6bGaiJsB4C9FtDSbD2GbzRdqumqI
2TJqkjh6tTc1XFQYNb5pw0S6ffaN+RN9EJ3Xk8iA8rmHCgRBIDc4auJJYmaMeu7Pp4AYiiygUnzE
eE/BwQVMevYwqrbdZR4jyCZWWn/MTFMV271BBBhoGvuF16We4yHXcxsVVdncVS7paOTKBW61rpEx
iRBozWpksQqCKPHaH/IcfJffOmRIfLp0RVRy1k2pNWTU8eggoBWZFhJExGsXRhiX2HzEVFQIFUoj
91W3SCfuAomALJy5QSRj0Uy3/Oq3a7Cp8N7t0PiRuXrymDtmyE6iuh+unr3XTvY7y9zh+99f4v+/
wSRbnRhyuH+5dJvP9Rf9+T8X7s+v/f0kA++B1SXgipKtmAMr58eyxbM88Ed4ZuG2bjyKdfhz2aLX
DHYs/iYiAuz5eKTHz3ULyASLH/cGPM8Npxllf+ckw1H6x3ULp3h7XBK0tOuDQ66P0/71KCuruYYY
4sc18HFAc6cxZNImjj/234KmkvtsccPnvoKu6JnJuV9zTKshLR+aBkxc1wVPAEQ3/zIo85jliIKh
ZAISFdBwYFqrfpZNA2w67/VNVS4t6h5EOJwg36K3gJoJn9RW23y/mtq9yx1XPLYW68pBVJFEXc7r
izP635GPzb/w0lVvDdKWcVUr74Thnx9p5ayHDNhiOgCqT4sK8lN5taY2k6pDHDbNufUOHToVUuq2
FkddgR9vboT7ReaolJgK/4u0w/qN4ZFvOzC9wROZWy8Nt5E9qlZ3Po9l4J4Av8ij6890x1s7nGFX
jcnohyVQRLcHFq7mFCUB8pEtS5vCiWrySKtgQOy8DdO2AbhOByd8dmvGXnXZtYnng2MUVI+R24Qw
l0WbA2Ev/Ga4SBKaS4HKgIvqmvax4RX7iu3tMiLdg5fnVgfV6RC1GoMbw0JBFNYinBFxjXqDvvbZ
2RTMh2Xd4f9OyKBVk/aOea3rVxl4WYpkF2jjcfZ3dTjr8+T2LJrE1MZBphoVNUBVj8K3/CCArd2A
76cfS0xdJ48uw7OeVvY5bwz6G3pF9wHIva8zopt+RMogv/EQVU4wJiynvA26KeKqXW+pyBSgPMeH
mSiwu6WIdvapW0+8SQY/K/at6rw95Rm7afIqX26n3I4n1fvBq+ay/xLM8IXhZEoH94d46mCLEjvm
qSk7deyKoj5aCNsPrjXyEZaeoxKBuVFGNF/Hi+jXbpevuTgY8KNIZrR+OgObfS4KRJRVq4HzQ516
CZ2pOIzL1CYWWaED4a25kJ57QIvn8cSrSr97AJVuVl+ad+y0QwOZuZ93QWP8g8aN6sNCcgfSv/I+
uG01HjRX/Y2eQ0TeHCQIYwQ9wyL637+1Ylq+Jtr+Ut7509Ok//Oi8FPeuT4QCeIJ7giYPbCT/sy0
oaZqW6/YyTckDwm2X6ciTCjo7gQDwxF626D/f49F+Ff4Agz4/w8dOZjO/ri/Yi6ChOQhq8AA2ICK
wQ/+6/76syPHdXs4wXytPIRonRpMwDIMDQzcUGBXsh4pisNqlvGJXgEq1OewFZy1Xy472dTsDbnM
6QUh8e673gisanDMXlyxLLIRWjVZiNqPoC28qCgCQFzVxnPpApMarAlr1pSVtt5jEwf81V1BMAcL
101Lzs0z20ix9QqNIYpMgtdpFoDJiGtWna4bY9aEQXvur+AZ2Rg03s9I/BZXNG2+Ymp0Wbo1KjoW
fpbECOzvSwE/P+P11Kbr2Modvkn/7BjUwqCPRr+GjoMwOSQIb0YvzgLBHXUOkGKzGUA53PJpuEGW
Ce5+JcL889Q3oEUKtwcr3Xag7QJvxGRWuKV9rYZQf21GGs7JnLfeoyoEChyMGnDzZ5RarEGYTxbK
eIZeEqbC8HuudH3HQRF+8/L5kleYLVMPGSQPIfzRm6LMIjgRZYrSj/nibyy8t4YQADQgaIj7DjQa
jKlluhBt+5NnQjmcm9wXOxAmgr6CAKq9hNjceqkvpyIdqHYRskBvwFf8NgqRLmwuxoNlzpuSWh+W
6owtayIDFJNRzXnyj9kptoLd/y4Enz43f+qs/EUFvnbzft4Ks0Koti4Ks7AdbE8YukoDv1+eAo47
Ei5PjAPJQtD+5xRGULPl4nYEkha12sDDsbf8dnvCAwVgiVPoxn7A8Gd/zxL3ArymP16fAlybAo9S
aBscT9z50zahHXRaWZ/u2xIxuQREHep8XD3xV1GX7SkDhqqPxQa0B1e2XcoMnDvvyeccFhguQRsG
P4o10PtlHU49r7b6pb7s70pOx+FgMhpifW9YfTjb6mUecOc6FiuZcwCx+hnOb4aIv18XL1I6RfkY
DlAsYmB8aCQwFs0BAWmdfVWjeAiBVTfECNeOhxGImUpsOc3pGtbGRqhiGVoYMY7eh8MCOZH5Nrvl
vOgqaJyOgiuLFxSBsJvvSF50yPcPJK7AAt94W3gkcmZr7jnbQvCskLVFgqoFVFOK5sFVS5Xkfsc+
y64Mvufl0H9TELLHHSKv7GGo3DmMHGIAFQ6eA+sX/MnDkHkO2SGp0Bx6f8lVVI2Ll1ZwJN+BvZIg
kkWPb4sOKPVsIEkajGP9fLYgbtO27NYdoEn21Uds4yVEC0sf+d5Azgjq4MX6wGIReHQR5HdHpJJs
sXxCy4A7nyxqqBB3dVX2gLEG1qFZfbpD34d9CWBOvlUoIolJqQjyiaL7XgH2gwnsNceprcrL6mpx
ETKr7z20Jh3WAKGU3rQlIlkWxSeOteyCK2iww5hUP6wYlA49V/YCwhi/dUj4w2dcQ8AnBnWhnmHl
qZdADvNzaEOxX9ngv1M1Tne2kf6O+QV6cKwd5bds4RIVYbP0niu/6rKoDSvK9h2WzHOwzOK5bPj8
iu6E8owoMPqWAtyNQ8hCGcLETV/nKUxJe0K5kTp0iEWbm5D3LipshOo/e3rKb/0+Kw+dDLpLbTRp
0eRTNjTyUK/2MjZKxIhO0weUuIRfFGwTtmu6xvuELVS9e6ZwvoRTzr+LoFwO6E4CY7SyaidqS146
JcgFoRJ2U5t2uZuGuX2b/Fme1glA9WypvB3nsmxjWMl4452CitRHCdRW7tJOLxxvGczIkZAHtfYK
EEczsk/D6HiIJEtt9o7XNB8RXA8+EjNC4+9cGgsA3t/MUtlUlH55PwWBTIRQ0xMno/hgu4E+Mznq
MnFygmivF5zCLOw+U29sL7DS3TDKJIo9EJwaUAoESqZ9QU1IllrngXXLeIerPEX+qm5vLFTrSx4i
KocBdD32nExfDZ5LfIRgrm6Hgc87pKshmARlxe9KVAVFeU7pmx1sf4f2rMBFJwQ6xtLGRSarBYN3
UOhUsrvOczJwKTNdPmJsZ4hk2SbJVN6+QH+dvutyCF88t6bwaYV/pIZXazyjvWFIeycA8liB8Lwn
VZlfAK7p27qUbDeWHZxi5A8QOKOjeYHyCDLcnVy7b2cjAdmp6nYxortHpXe/gxqjnsa1qN8azCsF
YlhV8zgJVXSnrJp5HbdOyR+t6J0od+HLHQAU08h2ckLplhzJx5y3OH0brCTMefLYQpDdT4jPpGit
WtDaU3jOMcisy8DPLxi9PLytdyQL6wEXCVCSMalJ9bGYnWU9FH5W/wMGdEyEOA3/UrbElej/dur+
/MrfnNdrfSVSt3BKUSh2LTb+ceYCQ/O3MC5mbBeFyHjiwb/PXKBrG4iO4xb7BwHA9uuZe43+4hCn
Pv40+DvKh0/win49csHHBSi7ABvl4c+CkP3JeSW0kDTUwXFEp18TVxt+YRpU5kVo+9J3OI1yHtd9
sTo3k4u0o6kIjVuuhEYNFWtsjPqgKotRl7CiVubKfjCx8jlxuEUlhSyAh8wIv8dOR+/Nho5AAZhQ
jQZghK7dIGKEP7sn1VbDLbmSJ/no0IeuANUQrWseqstcBcBUrsRKdaVX1ivJEm5QC7/yLdWVdVlM
pXeBWZ1D0Xe8PYsNi5lQMSmwgyDce+/0i24OeTe5SUVLnx8Lg7bEaYNsBtjGJG37vIOymQXBC2gO
p4slkeqDKxQixiZcI9057DJfAZ5gCD2Z+ojl7EdP93d+ixQQBKtIQ4RMPdbvy1yUJzfsk6Jw0C05
BFkE78z7oFYLVnRlF7cCXuYRIndbL9ixQMwlouOaDCU3cVlIFTMCK3DMwsQ0YEbaEdOQA8k4D0Vw
RpFdde4755m51b72wQw1PrkdjCE7MF9HWMVIRLsq8Tz047RiyQ/CH8AV1ygmQ97RPzaoIEsBZqG1
aER82TbHUMyfhXFuBuR6or5bEj1OH0sfY46HSd2teyDiqrlYrz8RwOS4wNl93lZH6widDMNaJ/XA
Erqgf6xQxfyK6O1yKXJtjzUXAP9RwJQlGa38T9dKO1JU6h0lPsWXnozObrSLH09mtSejtfxQOn7+
ICq/kEhzC885SZQ+LWdU9yDPkAOG01HDC2QdeT1HXePUdfxryR0wO0V2WRPoY+U1I//PkjsMac3e
zZv6k+NCHAs33VvDlI/pNPp7f5yGEtnlhR2cshhf3UKpZ69U1al0ugFxyKkbz3hV1b2dlYOSITRS
dGh1WwDxLAA+d4sJQfcJV6J7ccagUSNRW9a3GkyzG/W4UhIwLyiWwuHaBlG/gpSJehE0yZIRjfkW
kQ+h8/kA99v5Zow2HyDamziTRXcGbTXjWPSMPWi3HWK0j5ikyke8E5M70NgMAz6DY+udmok0H8aq
NGe3q+cE/XxlAnpSHTJPVo+ZU1ZFAgzNuVN5NzzRpq0Svy9mpNMkLDlZa/pb4Z7v6sd1XouNtR/u
8SFCbAOcG/qpkHP14HNEw2B56i4KgdA5yHeuT4dv1CxoE6zm8LWsK/ZeMmb07ag9xfMdGRjuoqD4
UeX15E4Bbprool2CUxCKfjcWPSgpmjJA6Hsxz+pmAV+NslwVvmbM5jGtKh7jkWZlHNaoUEQGiMKf
x4yFSqwdbZ+KemSnnizVrlKevsi6XXYzqkpwMX0spvEG8Pfek2NaFiapvQHgrD6MDMroXBd3juLN
odaDn66S63hFUe1dx7i5zYoK3RjV+Ijf/PoByW+FsoBKo7wKSQBjNf/W5EN40zFZHvxseWJb2xbJ
gaPhEmHeAzCS9yo3/Q26fNJJNHfNZNgTrg75d1fa5ds0VzyBbipjdKlgclty+TC0CACWBffQluIs
n1GdDzVtQePsoZ/GMoWp0iVgLVFl1jf0iO0TBG2DILLApoY8T4PWDogN3tOKesMYCHG3B46R7xbN
gjMphP8s57W7RfFumC7r5L/grtDvfPY0hRgk5X1OUBtXdD1PQ1PdO5U3XjhsGvwleY7Leogmwcmd
EuXT+iGorH+HehvnAdlthH/wq0ETgc0OQavkBSnSLUhc4W6iOEWwwnD5okOhD3Z1bIKeNvbAlmbC
RI+uw3YFqoMWWLI+lpaoFMJHtac2xD1vBMvwXHQdifW8hLseH7M9Q9x/Z1apjrSWzo2n5/mGNqOK
iZKJROg8HHme5lNQY9NjuHfkCvihGIMLCZx27zToyoGSGeXIDpgSaeUpLw6DKvcgFi9lJZ/QfXPr
ZNaeVuPVZ4GOin1BkJkeZ4j0ckZTEcbPLs6UKFPORrPjjgtUFhWeKfobsdCdFSMuR0vBAfkVeM65
XQBNI19hZPkRBUFhzMuBP/Olu2E+FnHYLMnoZBpwnNw+ir4nkUVfg26H1pZa4cx1cGtsbMlPtdZB
BtMRKZe7YkIjRNL6MtPRMC3WSfARI0Ao5/qIFicVHos884uPpGfr3mQoUoxtL23qo1cCnUi+inGR
Hc7IpIuja5f1bP15ap9m7hQ1Uqe6wm2xgziUkAHhW2B+vgRzg6Lm95pk40OALtgPZpQj0MXR7et4
QgFQiYTUCDxFmc5OhxXlVAgDlYZ+FqUQt+CQqoiNPv+GOl6Zx2uJtXCHtmycLaEKwAV5A6L/oabD
0XQhpnUfSVOC4QScEfYMJ4PCPEC/ZzQH6lTX+epHHVE+uvHKGlcAeE56Vw1LrXZei8/BAYCl/Nzy
Gf6kU4QEJU4mbBG/Kka00wpxmlGjckBAQCCqWiAElZFiuCd6fXeUeuz/h7wzWZLb6LL0q9QLQAbA
4Ri2EYg5ch6YmRtYJpPCPM94+v48KOmnWCW1ybpWraVEJudw93vuOd+J7IGA12xFH/pQyg4aRmU1
O/49ufcZZKk9SBHljomXyp8np3FIo+pFuvXsDtEzT3DyTFWY+bDsLH8E+PAYTG0uT2XnlO8B/CpY
4WyGGN2r7HqSLGoWmZHGMUWBLxeDT08EB3dmkEHnMkdr3uthp32BFpPuNabD59Fy2i/mEoNoKECG
RclCZGphHdyNonvWZ52kUKXjjXVGu9vFOZhAObfiM+kAZMyl5Brm+zzpzEdH/NT848Q19+GF014D
j7ytyo5Z5V8yIlwagP9al1s3Zdv+1yVv/1//zaSpBoXL138fFPDtOCpfQvIEk+YPcRXqOS38Ooo9
Z4Kf+9HYwIYUNydDHUsvXaD9/+hssF22mngeEN9hBdnuPxkUMOD/eVAQCnMvDUGBCcwh9EPlBvrB
7aOP4LCtIPWngkSgn9Ss4vpSTrj5/58A8uC8F51Jy1mm/wWAPMx8EJV23PyvQeQhGdTgSDskFc6h
/xklL5qeFEYYOzGMO2Mcbz1cEKEv27aufKI4DtvH2nCjWyuvi2oVKEfKTbUkTbUjgGLPqw7VgCs0
maLn2Bvb2ocvwwNbjm4/bjxRePLojTpRdRBcCzbI2TRN9D2MMmyStcXnMcfPBza2jdZ2TfQSETPt
rPUSYnxcu/hGPoTZu4cBkHK4shxjCvwuQ3DYEPUPPkkJdDCSPaGdoQEDAh3qJkl2NT/EvSGX9i6B
IFqtUi3tDe671ATd2hYL2k1YEGm0gs+xtpxsowcZgeJqCEW5jp1M9Fx3RIR3bkp8eJXYoy13Q04q
AiZ+1j53RVW+AgsHZw/GZ6g3YaUBmAu9UUkUKK/1doxYZKJRTE24Qp8GQi3xEjzZbg66uxO9DhII
DNKVM+MbXlXLErJKN5nrVhAGnNwfctN+rMVSN1uzziLNz6yijtbMEwEUtihLrkwn6JJ9YffxsIov
tpf6YoHpYfXeOpUyxrAyz731cjHNYA9ZhjWY2OEoLrYa3jlYbGTZJQ3jg7Lf6BcrjvT4K990F59O
gvOlP2Rzmbi8hvOK0aXFu8/6h/znqksS8zToYQIt9dLUEMbBaK/6qqlf/jXrD6VL/PUx63/LqBT5
bwfs70tWvvb7EYtr0uaMhbDJB8SCJ/KHC8X6BakFJztkKpvzl8jpH1qMTcOhAUSAvQh5QaJX/1mT
0upm8F3ZpNic1yws/hExAFP9z2csyw/2KJg0TQDAnNp/PmMFRPLWquO11xr5tVALOpMN6Mg/6bFj
CRBX5F26yz4vXUYTxrpa8zWLEUx+qpZ/MHCGF3nZCGaX7SAQ7eGzLCQ7w6pu4/fhskmseHq2x+Sy
YRRtpuHSVovHLnXYQQaXfeRidC9L6rKjXGK7fiqsPtx633eYtc0+k5cAu00g8sF7jOXb2MAW6c6h
qUHtCCoDUZngDjQPnM7puRwsGB9RE1bFDgp1cKVdKCAzsbFIrSkWd4PnknjWLIXbr7D3QThe+Nsl
+TZoqBSaqx/R0m3Tz/OBD1rbM1lw3ICrWo8DL7hdIJe02XWpVt9JUgvA5lvidlszTCb+mHAqvJgj
VzU+OSsztrNZKjR+0bfoOTSLoE1rXfUtnJ2hWXNAjfyRBzMmaIKIBIhlMWEYqeNXQsQebjbSQB7y
eN7vdXDaE74zyjaYq1PIvrUNinoDIFosGzfkNF8XKc0G+NUztjGtnF9qiUvwgIcHAhtoVsde8Usq
ol1Vzlrla3N318yWs6wwB1W/chnEUKdGFRrCCVSL6y5EagIXH1XrNin0g6NWyy/8asb7NjWXr6xv
xWkiqrSQvGqL17A1jSsIau2yXrpG5aq0aHissbInqyH07IdKrXBBWlXOqx553SEE1HeKJibyHXt7
5zMJ9I+Sk73cNLYYfZHaRuXXjhvWXETC4a7RuvqjiL0MiqudyKvMsVKKURxXvM344p0TtCorJhNu
G7+msm8FmefFK/Z26yg2tOdxq6RFFTxk7mLCZY01F65LFPGNJMMRA20HRJuXWuXhO2p5LhemAikL
BwD0MiUa/DEDScFKwJ0eXElEbp3qHVzv8LK09lL2195lle1e1trGZcUdXtbdBotvW23A/z1nLWff
X5+1m4+ymH9qGv9h2azse98PW/cXUEesmdkqg4EkLPSHJ8WBs0ycCDOgrvNydVgD/0FnUWvfy/9U
4WjlUP991ywpBoTawY9FKJsdtvxH8euLQf7PwjcAaLwoDs8ahG/jZ0uKDfcAOn/jV7H269iLcd3w
aHuOTGpDWiuMnjGO89l1RXTmsP6qlfGT3dhXoYkwNI1XokAPgWwBOT77MouaDEsBLtyvOlY3gzEW
e63sppu8cHZNhPNCizpvG0QujLk619eacN8CUyfIYRtfkPmgKYfV5DeLe0ViLt8wu0ZnT2MTUxbA
nRJUXHIe4RcLndMfIDrtF5ENfg5AHgkuirbSKNlForSBme2Q4rPZuNBpZ73Wt/PE1k8GEaUaabpc
85rpry3iwghbeEXMor7NWwhW64Tqlq0zU0JkoFY9uWERomBr407TDUbPmV/JIJZhjx4LB9ixah6K
GXmSdn4PDJH4WEQmn8M23g64eR9oBHJZXaX2jgCxfvJYLB1Gq+oPgSOWHaHsdgsqWp6DvoKlMlTJ
h51JHo2EoaFFTJ58q/Ny8llBan7ahPLBST2HGPVYXMWeHO5wOpDUls1ME1BZ3Fe0XcGsKI1dKXW/
s8yXOvbww9X7dik+O6eytmae3uauRgEMBBEE1LBeaTGe/5o7dWVkLq5miPiR+Eibalovwmo5/C1+
sExoe9GAtxztGBZPAuYBXygtCIWu8e62yRjZ+lnEurEue8+5Qvf8APb1EaXqDsR4GOhIUEs9Sb6Y
cCTyfrOuFpaExNZvSFVD1h3TCUwUmaCkJuYgKxOBCbvnKmicI2y/eR0Ucw7vKiZlPWjJ1q7cb3Zq
PCdZ/rAs4KIjtH9tpOADV2O4cmMXBV+LzjCO3ZWwta9sqA49K+/GsYcNc+gblJ2Xyhy9UzzO4Sph
kb4KuvLrMpjpurXrfi+bqnqeuvDGCWp9HQjxMVrRq+zEK9yd+xwQ7Qo0ogYTyOr3wk7pfzKNaE24
7UXO0xYSDeJNiezS5fN8YL6ko6jVD0kMQzQcFZHSdred7D4W7uYt+2GXJXymn/A36aeqH+LPEij1
VowGBoBhNLaDaVW+SCptG4mmRHvt4zWsMiCmdu+u8zxP7oa49u5HJ2+3dca3xsU8vXK+myvY7cYa
txnK4xBE/REGUTD77mC65wZ+0ZbUJPxrcLFjAoM0ggim2NimomRTElWDAYecncWjeb0QcvfWlYic
+yWQPHikbQMS7cS9i+Uf4QYsEmkU/gX7Rg5wex3VMny0vM6iHgljIJbgKviS9KMX8uS3jEMT5RdF
DMeVJhghMMc0T+y37HPLsJivEjB7yYq8+3TVCBFu2kT2Zwta7J4oX3zsazu503idIleVgXbgLPZW
eWQstxREGNdzLm2W4/PIX0Nsw12Ax3RCtdP90hiGj1qRczr4oaXZJCdoVjOiqSLshHE8bVxF3ckV
fwelr9tIkDzNBc6TXkA94QXaMyt+D2fE+MA4t+xrRfcRivMjFfGnV+wfLL/pplM8oFKRgRLFCJoT
7eu/59blevybW/fneugfr1y+8o/5Bp88RiwuXIIuQuf6/L5rZlLR+d/KASp/2jVzGys/PutuNXO4
tvEfDQmXPYITNlBbErShgMH4JxqSZfw033CmSOIxrH7IArhYRX6ab7q5CgryFVDgzfwoS3O5aiRl
h+RXnfqsEwd94qOTn+rxK/MFi2MHubFmy7fNIfT7XW2mV14218MqwEc4sy+LK1Ac7bAv26V7xVg/
YHBv5VPvDWJQXYcxZvJhpObEuzzFEy83KAVLtWUF/3DeNZfHOlfhCHQ2jlhMV83Yn6Ay8slyzPah
D80SuhnFAgdwI1AI3Z5sZFj28x75Nn8thVx2HVBtQEeuZvsNUiwmyTStwKbOzo3A+H+q89rd5M2M
+htUpArEOPpJJFubFiz9ITBKPifoiFg5lvBsG12l+yEy+7au2SI5OPO2iAXkCLrSOATuyKsB82vy
pQojx7d6C6a0purxKo/wQTXGxjfPWoJtjIO040pCWfMButQvFBrGrKEM7yGyJSusei5DsrBt7GED
coMjCPzEA73vWC+aFRnga+vUux2GKcYlBXuETbwxaW+EBig/azjtm3XJpuq6wDq4G2uH0wd69rSL
ImfjLLK4ljwb+Aky1lc9KV/vrte07pTBnz4WpXSVmTRtj8uk7lp7ZLVqap7Ntg0cY4nDXzRQBzhF
Pwx9iZ8ENRCUIzitE/gJ9oF22y79stYToz8w6Osnw1ONVzFIJ3thQDJKq93wJADIqxFaUlis54j3
xGaQZbLOssrc6vw4OxxQ5nUAihLHLf8s8mnaFzrPBTaACPvstNuysndxT2XDlBXuyWqD7NqWVsaD
rHI0VB1juWEWf3Lq5CyXGupFYdknLMjUyXS5sdHjAKQ/x2iPl2/aBWlOH5Th3ULmwrc7uOZ1UfXR
ngh7eMNz04JhTZ4RyMMuaq27Gvok9ZAsHKRcIsbf4o29C8+NCIeWHLt9UOrVexaOqHFmDymZssiP
yCUMpSds5ubuOPcPfdLaD3EVIFlV9mEwoszn95lu7NqjezIL8mjVDZZxX2ueeOz7RdwTkBp2tKDY
9wUk41tR0QfBa4WxPNWz6JzRnPFswdxIAcYM7t6eOnk1GSlcsTn5FuCz7HzTiR8brzVvpwXfkW0R
eV5afGfTCAWjcWi/cTOyAXlL9YNrA662xkFemV6Nialgiyzt/MoMZcbOqayU2Klv+iwyb80xnfdC
R0GD+hvmFRyPQWarfPAE3Zs8imFux9+03Cu2IfPyg4XV8YUmP+frEljeIy0VMzVlswUdfX4L8+7Q
W9XGtStAo46FIZPdVAZ+fKjdV61xx13Y8s9iyFH9MONtyLvvY6N9Y83Ovnn6cMp2Q39K6OtdaLy1
EJ22fNZ8BIenjs4FZww+BaY0Fk7LRgZEiVZun7hbnRZMf+7FbYO+vJqd8qV3Yoc/oC7fZCNsZ2E3
7XpoFkwzRvGrARhxwxa6XEeJNhxYqRKoHU4D3UpnTBqu31uQSon9UN9aHiehuxua325d1z5acfSt
yqWJwTWUq6zF+5qPbXpLEyne2qG7blPMFxHSxb6J3dOgDcUGevfD3AWHio5Rvc2eMyC4sZef2MPX
59YDUqgbjUWKpXmVEZWLYeiKVVkZWwmYVk+WrZ7Ndzxx8czhezOWeT3qRbGOIvfXNHOde4VP951a
HgMjex/nGkajhaSxdGSSNLtde/pkAM/2tq5wH53iyZm6h9Rr5doz6W1qK/eh7/K3Phu30qoXCD3L
LYGX7STjI9Vefp+GTwmOW4ru+KjT5iVZqQ8eyzEZ7zJ8O1/MXILoHZ1PzQn4UYGOw1mhsTOtrGtj
TFA6wsF502xyMNMYvQ1uM8lVW04lg5U7pafIGcOjhQC8SSdD2+HoCfDN1dZVmGZGuE7cDCy8a22Z
1uJ3EpzgdelOXFPclm2C0bO2lQxwJQXU2SVa5F4DPSpWzGHwN2EebCZpovlUMtrSMZlSIZD1VzQN
yHM9lM5mcskfy2R5yAMQMvmgr/O56a6DzJh9YTWbevH2Zo5tc6CI1g+zINo0hMx2Rguyt8iHY9HM
zB3FOO9qs3R94BLmvdAKiu06CRSY4kUPRk+a+Es96u9zPI/3YY97aDWyLNDW7Twsgqls0GlQpFqH
yBWZ7fIiToVd0L9qgeeBEre1Nzq3cEBabnGTWL2vxSgyPeLWEfUp3s2a0ez+Pc8/Xl1/8/xL4+5v
NBe+9vsDkAcbLzw4Ebz/UFIscpG/PQCB2/KSU2EfASwboZtv+U10odvKMExC/CSW2RZKCz3mN4O/
84tJ0EXZECHGILmwX/y95ev2/96Vbfxs8OcBiIpOTokoKKZG+bPbsEVoAZ/srTm951OQUvnMmUKZ
rNGJYhOg2XMmYaV80vmgk6J27H5LwXR7iEJ9fIm7XFyLIjPuSBGZH244fBsTbYZAbc46lvag+nU2
a3dbGkkNQZTrEtTnEwdKA7Wpta68OtDo+jW+zaZ+NxgM7NgH+3e7l8ZmKOv5hVwSBaed576lfTDZ
6z6U1V00VCDyokXbeWMiziFY8Y1uzzi8iLpF/miOw86lu2gdUIrxUlg8Qlcd8DogIl5eQJhjCDVz
faEQL9gsEf2UTjXe0OcKEWVp0ivbHa5oD/ocWuMTegzUpW6y9vRV1we9wn7GUosDEn/iphL6uMak
VxOQqbPnBCzc9WzH2nnxSgoKSAEg8MSpYkxpUNpmW6NPa/gkcTptu44ZlEuysq86pyPjOQQCIYbW
wCP1VhV0ufq9jWMAmp5XPTXNOfGi+yDvrUMgy/bVzuz2rZhcBx5Nji2FlRiAvta5cyOte8p7G+9b
V4yPk4mpgAsmTa+mSptiSvaoLBzbjHZeUy9OcEHjwxA3w6vRccYncWpt0t7GI9dbeUPxl9ZdgWJo
JLypztgURqbDLFSVoS0BWpGZR4Ebaqf31RvfycOt0/RcP2axKbs5vy7bpn0NGjLfdU8RbWu32nHi
qphKt01XlBNk+bbS8IwN7FUYaDX+tsPKpPjXcK7KrCROGUXeQJnzkIinRBUyjRSzkORFwcKkF07n
KHONuyxi3U45SUJ+v4kMP5vS5DmNwNAWS7nQFeGWPHuo+gxSMg307bYu29PcuUlS60UsXcJ6MpRA
dmLn2sZ1irO0iZ9yJylOU64tt1PSrMOw4lkTRUF+nBYz9GvqNxDirJuKteH7v+fcZIb8m3Oz6MP+
rxeDfO33c9P5BQv2hfppMTQzDLPj+z2ejj4MqdMhZ47ZWv5wbjq/GLjtOVLxduOu4Yz849yUv4B4
oykQhZllIvPfPxOr1U/yk1htqcUgtFDbRHFU6fkfzRe8h0FkeXRWQjgGhFIwNCh5h3EB/o+SfEKp
1J9BCUGlkoRG9vZ714iHs9Z64FIGc7oqROPixJo6utO5IuwzVwjRdAvByUmQntqLCrUoQWowFABY
pCL4YugSx1etoV3FSsYyL4oWvk3ULVIU3cm7aF6Nkr80JYRpInDWpRLHWPChk+Eze+8yTsWiM5OY
F2zYwowoPcLbLVDGe+SHbIUTlvqRybHpcmjqdd9DdCC8GUNJ153lMAfWtxKk83HojPi+R/Da1VkR
HEti6vSEx8l93iy2b2BsfAhn7hKR5vrXMBPjAVLgeAdCPdZWSR4GD9qlT89sPefJHW33sRKpfnBV
316kmveoml9VsQQAk9egNruGilzwL5zBIUP6jl60+bNeDPdxFA49CDRJ7Z04Ng682udD67nxy5hq
4gpIu/OMSbC86R29nxkgEvfKDdx8a9eN2MYCAEhNcfy6ZBz2iVgZT2yt5GkQqoHHicsd1Qz4rTOr
vvWy1N03tdceY70qd7npaPsgHCPVe67HqzGX0b7gCei7tF1vi7rNfCM1kw1cqHavigd9g9oi7G1V
vabZgaMYYeGeEKjtF81k+33MDzjgqr3hDdDuqVjVDovu9VdiMDp/hsP6PMN5/Foajdgx5lhbkcby
3VBJ+Fhl4mtWjs8quXd0JIn5PCQ7Ly8x+kEl6keMKau8LZtzpNcSmZd223HkNsxmL3upssQ8xKxi
wLvHkiwMkXybcNdZmxq5XS6hfg/a9GoeSPq7GLtXwmvhNCSSyBYupFyRARJOxYeImnEbczj0AOcC
ElguUAFH8QUMRRqoFXOg7WrrxVQcAuwyxp7wE8WwilKA/6+MyOvCLhgUxaBSPIPO0+t1e2EcKNrB
ILL2vEgICJNiIbSKikBJxXR2L6gESjRMPDXwEwThka0GX/ebonZ+Ap/jrwvUOG5ooOOL4o8ThaQY
s9Cn29aOKypwSPfPTcR0D32CwljFMQ9DzLSFkmnJUem+e9FuodzaG1cJuv+ea+Bvkzq7Mv/49tfX
wB9wIRI5BE9dZeggButy4P9+DZB0tRz2kSwNOYh178esjkGrjWm5HntLSYyGS+W317NHOvanbeY/
eD3zSP/pFkAyJbvrAq5GRzVs9bj/8RZIcndIGwR1JxEOjL2airVuQjYzpnaXD2zoV1MuC/pSNN1v
Rf9pTCTCCtMprgMjFwdnFtZ2cAYaXM1gbnb4+eWXimj5NavL/CAs/hN9bdilBokGwIUdFiWjG4iy
dOmpM/k+Tcppz+UxVM+LKQV+igu1FejWdaI4rOYFyYo6qWNnwKWPr7XfLR5f2VYSty22hWYtyKFu
uqHSV7OCu2Lx7TGpZcRR0rG8zWPnI4vw+/cZJuSa59+wj5QBdVZWVKpeJ7/saz7QHr9IbRlwuyvL
qtNkziodk2ItZ+291XIXPHMPPpcDCNJyyAsfeD8oDtCE+Gm8TZQUhOCrSfdl4R0Hy/sk91rQ/j3a
lJjjls3k+BhYy8Ms87MRlCZMkGQk3ajNGxaRsU9TbrVerLE+CUM8I8vr/NTRtNKaWPfHAcJk3kcd
lG6SRZglkFbFOO9zMSR7zSRnki+BjWN9QJUJA+7FcNawJ1vWqrCS23m0tOt6So6Jlt4sVE1bUXd0
80X3KR7kN29GI/V05YA5GLzqcwl/+j3W3RA/toF061VtdK3jDoLM79E8Ij0862y6e7+f8wq2JvZ1
v5y4+RezKTZUrbaqx8f8lgVtewIFmz5OE3d3L/v5q8kudoNZqEbj0AXNdD2nscDEfQv/4+s4zsGq
TTqBFjtBu2qN9tBC+djELS98xHrvENZ9u2vDRTIZNXj0VjNTH0TgNvGtiMa1nnhAvYpNEZ00S8so
PgArfhcmOn9ThZAPnh7fa1hXHgUVS0dA4MbTJAgI+eZsh3trHrmg5jy4LlqKKlZNwguAtGpv3mnh
zD41YxNxRYYtPFGI9DBR9Bp2Wc5lWmRnx0JUGzuc2GxkQ2LDNuMkQeBdlgyUWsQDYldvupTEJguu
FI2IxStG+d5EMXXSp4UOe9K35kimp6BLzazD5tBlAeAT/vDXNSzFh2xx+2u9H/FSlrqxq+y5YrlQ
TsPKsiPrc2om3FJGy9d0Y9/vwZtVZxOw6H1ZueXRngkaFB6b7qyI+MDlYT1eYRkM6IatvetgnojE
Z/O862MGU5mxsoSkPq1lDS5mHCxn69KKwmrU/LQtS6GkK6PZVKgIK2fqmU7mJb8s51GIoku3JE0Z
4ztJpP6z8ARjKSXK6OrSO49J3G6FldAM54quvOVhjMUyLoviMS7YTqyCS3MlEpB7YzPPvavZ6ZAK
oMbrUBjIj7Gnm6D7Qgg1wYKvPrN5DxQlzccBRGaKJggSD1HRneTiuX7Wa+FNF0xYKERhHps2snxb
Otq06pO5eNSTJj2Y7FOblTXNUO2tICObSGcyi06SX+uE8Ay6IGXAvWx5KrIZVvUizVOfyukDfEdF
4quNK7+zdZy0vE1o9hSq5FNf8JPSNzeVtV9dGkBZWTccV71x3fZVdS6KKj7ZpoweRJfX9xBBxpgj
2LPeUntIolWSyet5yowvll3TjljI6b52IasS6xFArP8117YqRfjr6e2Q/w3Ugq/8fXZjwjLxwesE
138DiP0+uzGC6fDDuMy50U2Dr/lN82JAY6+JPV4wprFDM/5za8tfoCQrSKYiEV9c9f9I88KX9PPs
RrO1wy+N17MwgCX/+dbuJ92OiVmtoZ6Y66KBqM1Kj5BTNLgrs/IEzbdhdUWbebsv9YHmp3RoqFXR
zehFBJVcByMGeTK55kPo6N2W3iPYwunJbEdGtNLTs0PgxbU/WGO1HjSr2XZRnB65y/pbfnsFt3n/
PiRF8aJzHBwJwlEIo6phlBNzn5iiZliyX0vK1Hj7YgXIVamMpupleGsYJ1tVznCXN1t3FET/BUmc
iI0qYxPhHlVYQwISV6ROO5uuqmxIzLmvjRXJUy8672pRlTdCld80tOBYOZNU1EThsVAVOewweWxf
enMaVaHTqTId221rwqVpu9EU1MxpBNtYt3IOoMyMkzPCV3QVBs1WQLSwl7/WCpEW5oqWZmlRuaVO
FdRi6EJPbsto57gqzyxrr09XhqW3p6oQHA8zG6RjaMYzp3r1hOk6QRUfKfwpbXKApBuxGF6obnVl
PyYYP9k6J3e6Qr8hp2s0DoGDw9fjPcUIi9ulCKpvmHu4YwEWTSfT22Gaf5v0gepOSdvrzBNJJNus
ducbr26cN2n35rEayZ3Gkut6xiLqJyMj15BPAVeRZ52zEgUzB6VzJtFMU4Ube1/sumY31xWvmPQz
SD/YRBjddWoeMIlMIOSTgm2GlX8FwsiExH9vWjkvR2G73V1mhv1XfXaKrUUD8HZJQfEHTsEza6Kr
Ix+vZ7xd21HytPHa5AsTZL/TvWD+1pmFwcY98tZtE19Duyal5C7rcqzP6QLUCDgE87XWbho5RMfC
CREmoo5FRSq3iUkIjmXv+O/puFHzw18ffMc4fAeJ+leGdvXF388+xhLiPRCCobRjjsRw9fvAgqgP
ZgurM8cevHGmmj/OPkNQHu5INC3eO4w0Lt/028TCjwchnnU5KwTL4tT6J0cf5uc/H32CbcJ3ng9e
TqQfZfT808BSDkPaj8mhHgqECbL5a4/eM9/wRholLs2+9qXlN1CFvyYFYEQEU2/45GVM7UegyoGX
yWzu9Xa0WcxhoSsNNtiFTZ2wsEVwwJZmPiXd6F33eot2LlUFcboYC5/B8JpsIx+u8dJT7Dp5cYuL
pMt2+N+gNkaSINZmVgXHmY1Fbj1TGQMKcUFDMS9tyNjg9DfKLZ+aS1Fy06jOZNWe7JCjW6fEKDFf
whU64fhbDkI1Ljv0AFOSrTc8HivVyVypduY+HXmZl5fSZqOPE2R5bqu1VhhlvHFCjonNotqe+ynH
uumKyv0EUqPt3TKv7uNLRTS2k5BEKb3RqVE3tH4PYmq3Uze51sOcFCVr1LE4DcTpza1oaKE2p1Iv
VpKIMij8EZV0m3gTpdUefPX51FjTwKWitfpH4MzPTrEMiA7F8Nw4MfWV8aX9us5EMK6iXmT+jNwZ
ryvLwIitNdRmBx3uUBKnrlv7y1D16cFYeCReVYOwbiUp3o1bhtPaS6rsCdB5dRt4Y97RnJcYL4yx
lK9NLHH83AWpjGmuhXVujsekbMyvdhlbXzQ9Z/oEy5kgQ4Yx7/MQm+y7ACGzn8pwDLcRz62b3kqb
W5A0mAull987EN1uilBzv9qjsJ6IbIOxaXvr1Duiz/0llv1zGCfcpzXe2rPuRNajlKiaq8akKt5u
R/OYe6P94ND1x96CQZbevnQuvtJgNBzhgZbOto343G0m8jnOqoi6EkAt5pSdVRpku7pcioPNcfxo
JTV7rN4wHiritfTbNHPtkljO+sC8D6Omm8+61YanMYyi0u+GIn027aaBA+V0lK1STMQvXs9dVT3d
F9p9kfbRryWVHYnftASuaWaLr+ihzn3LzL1v6eQU5y7IzPeePzuxThXLwDeByq8id8JrNPSp/rWa
nOSauqWeiALSJjNtNkm6JsOaviJvJq3PTmra6FWmYPG1ne7SIiu/8G8WlGdiLue+x6nV4hdj35VN
BY7larntozpbSEHkCTBUsYSvc6+VT2x722fOIdV02VDuPodtug8hU51yhUmaLsQkeaEnNReSUqug
SkNQzi/QlNwnEnPiiX+nlrWbEhcSU9515lMQ2NieEuAVNCqhGN71CuCUWJiURO7KT7j73k4q0BMg
IZBPo5E8RWYGB6qPO5BQFzpUnNj9DagCue8cK7/TDDBSDp+Um7CKzWseEtaxKSnrGRR5ioE/v4We
5N5MJVyqMeyLQ6pYVYTgql8nM9D9VJGsCIsEr46iW/U0i28bg5IfID1jcMe8AQgrHRQUi87ht6VT
w5YAFcqVDT2ruIC0jCgxzlM8JPXKUqStKunk10LRtwAsZZwQELkY+5n7c8Xp0iKF7ErCwkTypCfh
c5ostEcyEOkK62VBj6CCfslIt++yMCF8EigqGLrnSIewYoVR6Z12W2N0q29aCUvMI5X/vii+mE6v
yx31FeY1eBjwY5o9j/HaMewetLoClEVNOR6Xnvy5rvhlZRFP1+kFagb5MN3xuwJ1JhT1zL0A0EQI
C40PNli0ol/IMo2Klhb12Awo9g27vRbU3gnMO2A1O4cg2g3Q1loZS/7cljQKb8WlRj2L9eEexCzQ
iZnowW1ExTke5MoNSROqIvZCdbIbfCz4DpeqdrdgzPOb2OJzVFTwBzGe0OxuXEreAXFnDxo0xA2N
6c1tVlvx3XQpiJ9Erwn4t6o4vlQd8l0n0VouxfLdpWR+8pzJPjiqez5SLfR6FHrp6v//yc7xcBko
lOhfP29O75998T88b/740u+PG1f18dJxgCmBiIUa4H5/3Ni/UIjgKHASTx5PXlr6fhvsLlAloVId
WFlZlv0ANfXwwOpMhB4bNJswn/uP0EnUlv/8uiFgQPU5A6ZJDYL5M63Q1DjxgZVuaxg+t4seem+G
C6961U5uEaBbwgo9JMge61RavXaNL325a+kg57y9lIqEOSAQK6ZpJLmUjkyyp4CEWhbKSELYbnjo
MGfc4NCsbixNpyePoPF+yRbKTOyFFvBV7qmSk7JwELHQcLsHTbWg6GnuPKWqGUUWdHbf1VYGaPhS
nbJ4eCDXcdN3O8uaIzZ4CGBPHWdGipCTenthaMw3o7aoQIu7HKh3YcFFwc7acmY9Bpmii2iLf5TL
ibvcxtqm+IwJIAeEZ01vJj9RALEypgePEdNozqZii00XzBgHKMgxDgNxPV5AZM4FSqa3s2Dl9H/I
O7Pluo0si34RFAAS4+udB97LQaRE6gVBUiKGxDwDX98roZLK7a5yhF/bT+WwTJtFXiRO7rP32lY4
X0dFLSsVv0wGKcU3emlsYkU3gwJlfBkW5FnEJnbVDtJzD1BbtVVRDO5nbQGljQs0rVT8tNnUQKmV
pp6+9Iqv5nmQ1qQeME0CaTyXisMW6wNIth6m4s5VnLZUEdsAKpPLyCpYhUKH6GZbbXSbKcrb5DB5
rqYF/mYtILiah+EoeN8SErb9r3xUh4+g74qvsaLIochDiFZkuWqBzDXEDgHOKfYcvML8VVYAS7aC
/hgiPnFaXf2gAFeRQTiKZ8e52qGLA6FVbLtC05JLUM3usVbkuyAX89EPEvklbVV4JDUC91bmeXCX
J2Yf7DMXmtdGM9n4btxMt06xFbo/4PI7H/as+f2mIGbB0euD4yPc3ibvgz90zIC8MzYqOgoFpOTu
gNLmk4Uc2hTEIUOYo5XQncra848yBUAH3KozH/ugL+4SL2rqXS5Nl7VuOnzh1zfq+9axyULZeVk/
41ZlK+CmZA+ydmpW5EpHkyi27TwV6rW8VvKotUbvg0ELejI+GMrEmScJBsLUTLRvRqi7Z+KJggut
nECj92N4QdtzD/GcN0RL2/oGB9r4OehkvJOeP36ONfzQpp+jsvPiZmSFsjOeUp3+u1VqFf1dmPrq
LcyHOiXyvbEzPUjWOReA1xSgxmniJY6AJ8uBHA/EdbGOtb5YwzsnZ6ONBHFWmARCCAZDFX8BRJNf
aZUzwg3MD/cyOkb1ZdR6i04o/6MkVfJq+ZiKVwK5J1+3cYyWIWhspuvPMKknzLJhP8VJg8820Ozn
rA3TYjMhSX5pQH5+HRrPeiijqMxR+KHBRO2U3xJmJ3fqj7H7IyanuzeHgQ5xoMKgSfxattc+q0x7
P40T/zG9z+eLZg/Rq55Y+p1sDECkmW4isCdJdUwjx7qphoY2FA0KMReIJHDuWeZ31iaYSj/eelB/
YUfO1V3s+e3VbhN83dB95jXOUe2YuA7Ffz7F9xsPQPCmnXz5wxUVVPcec9OeuUMyZNauma1JizUT
LXSAMyuuE/WWT5i86lZiPuoRdLRVIr0y26S0bSvvYYOA3jm0ojpeAQDdZCIhSBbdhX1hrcrCUhDX
CZrXzD4i9Gy2EwkcumScgl1QO+D8rUaEr+yJCqBNeZDAdvJGiIhRR30fl2WLvFI6fa10bfRWw+gL
gKYeTap0HRf5E96zFiyq25Zwqq0sax6NWJD9Kiv5Aq8x2gT0PtHBngc7p50HwnOaxWAWdN1tJQE1
3PhZbWlb9mPGRSclm6xlCwdr1+h6LRht2Qgd6tycXipQpHJVwGm6EdwP2QDNFb9JE3yTOAeWl/Qo
YlMsNnYQ2j90VXfTquIbvtUeQurSiTNQvLNlC9ANhGypUG8nJITNyElWcMy7FvpeGILKIEbBVDSl
4Dw91PTuMBSWE+64dJBI1G10xJ1JSWmzllnbfxBcDklDZmli7CMucQAfIOG6/xwPp4Im/9XU0zbx
fxp7MGwqFrz66p+DD4MKy2Z4AgJdx2TUQaD5pWh7tmDq8XAoQYNhmvijqkOpMYRmJqNfG+pfqo6B
GEQjjtKHaLhQuZu/s4cWzF1/dCMh65hKICIvqGA1pv+nPXTpjqHlsPCgboL+xkq9DZzZ5cWgiEbl
8rLo1XsDHZPpXC6vE3v2tE2/vGRYwSbvjJCa6o+PDLmxlldSrd5OTjeAgVJvrGB5eaXLi6wuwzHY
62wa70pK4m5p5+WlR15HwksBCTsoOKyvMLFM8NYK9ld8G5tzh8UCoqy9wGW7iV71lUP/jL+aG6u4
DRSJ1sxD95xwL4cqzTqy44bwxKvce3AVxTa0cPZ7iSQBONY8d4p2G5dwb82OR8YBBfwlFFBxowWQ
2ypWrpu3LIHygHhGrVi6VNe6oEoUYTcNK0rta2aGbdOamrXuFhxvy4F+0RWjl59qeB4Vt9d0pwn2
E/fQVMvMW0hUxldHkX7pv8H6MdfTgc4J96NrR+0tqQL5PUGJ+6bXdOUQXzb8t5YQxj1vCgCbeTl/
HRbIcNf7AIcLxR5uSV8cRD1El7GZq9fAVZBio9UzgMXqtg72got7ou7ws7rN+6SMX8rlih9AA1BC
ATd/ekjzTbvIAbFpIgUjEWTEbRELlG4gmsmVvJcH/3Of5zNfpIQG/FJOsnIX/cGqkj7ZFkqWyFBf
LoWnNRvOZQQLQ2kXySJjtIukQfLGfE2UziGU4mEo7WNQKkhu2sMmX6SRGUj+x6z0Ek92rPMCPfVI
dRHd5G1BqSDAHMa9L2ipiC6G0l/yOaze3Tkx3u20KdoOl2lBO3HdAcFa54M2HMYoQIuaBhkQEyBg
G22MYprjjQBocTs7vqbEj1a3SD7l2bStujgINvPY6sExmzAo9KuqNOh6p+MoDV7dCfrGF4fSAgPT
Q5aPW2duxx4+nUlWOJpB33+LnSjGLGz05Ycrh/hosmymIFeE71PmxCkRAFLUTmrMZweoTIeNq66T
9ci129zYTYdXQR+CAZ6hE77VrXDeXL2K469Bj7OMzcpkVwffm7hmz9IKL0xg4i7sGD7OrEhbbIOJ
fSN6L9iIIRvnlUZzosDN7HT3RTu4R42LNqVtUbcec9WumEbzxyT08ruv6f57l7elxNbW9d+gWESv
WOtyn4nB8+/CsksukpGfjYBsCMVrVnyDWjk3W3qjNvgGQ1QKPcqOrsNlej1mBrzv0WwcmIX0JTDn
Fu13LBtpuIuH2LrS8dm+hJVw6AwoMwEeZPLjE28lnUmfS1C0jJhpEs4wUNXkaZCm31tqGi3trs8P
/jKk1mpeZbhzV/EyxHZqno3UZPv//zr/6+X0l0yI84+3t/8eTxC/kRDOJ1xLqkkAZ6lNSA7D7M/3
msBdRTBAlZRwuhIQZVPw60IvPpnsZ7E82R5eU1ywf9xWwOPhBm4I26InyvpbLltYzH9+r7EzsPi2
wO/opF099d77A+IMarBtA0PZBExscH2xFpTruNLy974Z7Ef0PUjHmdGHp86vnK1eezFmpp4mgZUT
y/EWw7s4pW3Tf8kGfeRvoouGd8ZoGuHFCaA57EPMC9Y6muf8w2VBG3P7SXjMRmw/8ablsnw/9574
gfsxPI26FrfwelvnUmXUomDtFVfsv3Kty6G7qyNbPIVybq+6Mfo3bT5+kbzyGPUITqhuj5b0I4Vy
lV9m7y0y9XsQ9e6uI12wD0ULIcdkV3Ey6gS3rogdjT61WbRfJVAsiLUgg5DOizInc5TxZxrsgluv
x9i+7ibLP2YzMB5i/D3QLn2KQWdNTPsUktrOKSD/dDT0qAn3VgZ2cjVSoHKFNk7cPaqoalyJSgNc
UehT/bnD2uxdKV6PXomDZ7eiKsynOp9NgC1xBSpgLkKcao1zk9uhc+PrVgDGIUR+mIFqbdUC6GKh
j75aqYWYGfD3MAxzgeppzDYezVytVCIgyWxzZUviyDFaeYmn0SQQBUX/Ju6q6cb0uXRwGYoPvRaj
TPL9NN8Ct6GqHShJCaJHyujJrL1oXnP75QjWI8j7GyPPxX7SDdbJlpXmqbKacV+qSzYacG6hzxJc
AGPLbqlob7qsnG/i0rUeXDeLniddb4p1w+tZAnmoplcmIsh6ssXnWkwGWOqRtAfZ2MoKPTT0MYRF
nJfbqoy7ryAbxmKvj6EtP0eZX9D3EM5Wth79oV1TZzknG7Mj+bzpI0tyeRNOfPU9gGsD7+Rm5RMC
dTZxRWPZunFL9iciN57AVTZgNIsge0T999TaBDCE7+Zc7InuY9+yx/KsitJ3VtHR5+LWWaNyEiQ0
qO+b1+yJ/A8xN93FxN11W88j5qHeMLnoQ7ezm62RTc7dxMK84MbKAhpatjhY5ZSu01zAlrQK81uI
CXpbQQ56GQuHCi8tm45kzOyz5bYB9vIBCpxdGbdxUuswoxCGPwhvg/loqEAEkag/iqRImk3Dim/V
hSOAU46XK5P29ObWuPmScgreq8rLX9lWBOcCo89Xp+xvxCDzwxiMvU3XYlr8kPQL3VooykyMNNVr
q8HWm4fSJ0S3ZlUlp5Osm+SZyI+171DHQxzrnX2ai945To5lVEd62wJzM4saagsk2M0I3iHcOuDS
8WNDoI53YUpcZYX7C1mwaozuO33147tjpTiliE7PtxYegO927Rgno7Ssz35M4cYqUGBqY5hsgDN9
rFqUPHYvbjM7W+KrSUMFYzTW69pJBXp3JPn5dYBFWJ4amA2CmMEI1le80eeoBTdW+MiI+mhFtwRZ
nJsixT0HyRY1YDcOLSJT6Je34RzI58xw02duhl6zGrk2PqPfRvtpmtx9acceZnuRXwTergOkdt28
mRyoGSuRhsJe6ZoEZTZYARZVAGzyMFS6szIbMV2y2WU2F5SK/GDn6TwEfWRUGzZ3ibMmUCSKVxcT
zFenYII+1lFSPfr6YK4qRXd6Glj18ajIUI9WqtIxW2Wu7MJvpcjm+TImqE1rb9DC4tCFLgZICzTW
Bo7IHL8ntdHEZKFDYX3vgK6mp1D2k7zDxOFRT9k5HJZ5U7X6KSinHtzLNM7uIYU4SDpfnyWf2mQu
uA5k2DzOZGGhlTf0hsf7sHKxk8A7tscnD/eNB57dHjCgRX1EHskMWvsen2d6gjdSncZA4zxie5lQ
badHVr5rjPxroMeFvi0sqWsAScYJSFdJgm8rGfZaHkvNsN/BvCdvsh2J2MIevFZ90kEOMzqgIcT9
jROpX5X2sLmo41A0av2SBl2WE22DJkIcOPR86qtm4y5BrshX0swIZpcMa/iOUiC/RD6cNSoGkWT6
4Yzk1mgy3+I3ij+HHs2x+e70vtmC+Bqb+yItLe9QFwHs+ryaMZ9maWmcCOCKGbssO2Tm0lo8l6Wd
Y0zlhQYIobQx57BeK/4Bu5NfwxYX6r/QEYrwL2YtvvSXLU7tP1RoE2s6E5LKYv4ctqiEMw32Jh5z
FVnMZXHxr2HL+4TnDQ4is5YFFQv3+u9hCwwiyU3STmqJ4hr8Y39PRFC2t5+RUYUuIV+E0QQJAyoN
lnnYJGq78sdhK5jxrxFVmby2s78M3WDukxLYexY6Wrst3CTo6SiY5kvqt9Ww4s4ynU2NSjCdvekp
7d3xyDwJ1YhUBfAikQy3rKnDY6YiLWZvFG8VR82+hMuMa1aFYjQOyW5VSb0odzqvkRiGU1Lf2ZNT
AMUhWWOUWoOhVbOSi1VQxrmyYfFPmx7EAxhWp6EN1whF9VZkCkmC0PJYzyQ38dwV+2ZwByitqVYd
68rsvzZJHWFkrgfv7A0t9Ig+KwhoWwkOhm0TG8ZD7NV2twUqEEnenkNqr+n7tL5wcdfVTt+TV62Z
+/BzgT/Qurp5bCPYR9IONtpQDeOO1H1Y7IVjpidd+nb74kfWVG48swyTV92aiGgGYDw0mgdGWKT7
vJpyNPOYqO0uFArZmOnxmwb5BdrejHMfq4ckQmowMX1XlPlbcNy6s7azaIKkhxMNWkNXRx4aR9Jf
RTlb+Hzt0TxhiHb2WaT3dxgIzXVs4ebOAuJS4Pun/k6KIj4nHOMgkObxqmF0I7Dh2oeBaNbRgzj9
3aqIn5P+7O+NWcTQp+pcx+XcR1vp6YfI6rq9JFOr7QgiBfXBTQ0OMsLwxloL5PTA/OExxwDmJzZj
OMUldQpNPEtPC144G8N6x804cKnIonODHBr/j3Cd0Du8d6Ms8NadM2IyMCvRrOkhmLNzNEzaG+aS
9mVO8oT3bZnKy4TZfzXGZlaf8OGVM5RF7pQrnM1efdbmQr+rMGpF9zrizTnQSHKtpSPD7IJlAciv
TNtUsRsmGJOmECMrl8DfEqwlw5WHpXFvxJVBnYGWItqEU+Z+8Dymn9W4cSbmYfPRzRst33LpzXcJ
1iDSAyTW2D8JjyYFS+u914g+0ZeEXVK4YneePNaNpWHi19372BDyAvWDVJcKIxP67/cGGejyUqeT
fGhFhfdatiL+aITsv7cq+tzMBVIC2zh2jI0xP/AJFmd/gCalDznUD0OLcLCKmi14ZxH0C6xiV1X0
i0ZWpXPg24BxLSFu46aklIVP4VYfsvQms/SRUciIf4wZwWC19uG/knTBZ70Q3/pKaM1uMEHSbMwF
+qIr/gs3guENbAww5mkBxBgLLMZW3BhAvtW4lk3bnGq9pagF9URdQ8ruDKoT8EyrGDSt1Zr8fhWZ
hp3yVhu6cd8v2Bocr/7eEmN4RUoAa5MtiJtB0W4SmWTytusVBCdVPJzgJxqnba1nIiuRvw98EZxQ
fgmR+b1Wg5YxkvZzojg74ULcUeydWW+cmS56heTxFJ2nUJwelxKLf4AlEiEZui5K9l+884bX/1Qy
/fsrf77ynE+I5QCgVfCATMcCMvj5yjM/8cJBOPdgHCCCYxj/t76gI0p4bPcNxbMBhfVvN6SHYYCG
JTgKHpo5/+K/hb/CFPC/X3m4Bfi+MCB4+DGpdfoz/WAscfiOUb6Ju6L95tVVq/qAh0faJYIntjnJ
ybbb+hlPmY26x+6PQFSCn3BFhqF8cvU6/VzMpvMRLCeEuZwWhTo4RsCp2HHVcSLUwRItZwxtz36/
I4fpVBtiypE6h3q2jtSCTudyOakCdWghT3B+DctZ5i7n2rCccaM67nx18OW64Aw04Z28+F2ECDmj
x57bPrFgtZSVD+TItkWwH8w41dbCDKhyibx5PuuxbYTbKM3Hj9EaiwcxiRiZW0nDLPZzcaBdKn1K
OUzAULpN++KSkL0xtIzyoQBcyT3gI9AOgz6Fxs6wBIZ3xFVuLK2hj6++I/AxyBifYYckjj/bCcS5
t51KJ6Gl2VwEnDqzj5mQZnOd854qK69kmO/G0gIz6eb9TuYAB/cV1tZ5PVglkBaKVvznzuvscq1z
vD5ErhlfXZo/3tp8HoubcBSEaXH09e+EfAnmYwAT4REKkZhPxSyL8UHYWhd/1ggD5Bx2KSjnNpoy
rNqej8zoZtek6ZznHDYkp6Bp03TKZS+t+bVw1xzeYCOV2kojj3KDlFsB3YzmYZeEafkwR0m7n502
4f5dF6kinkOK0eLus6Re9ep2jS5W6C/jvdk3yc7QG/HipYV+bGAu3DTVkOwEAHeqH/Vk5wOpMLZB
L+NrjJjybHllfdZLvXprKM28OhkYzWHkx4nzPxqO0dCHKhRjJ8e5q8W461kTw/vM45zpphB9uWsB
DO6mSmZPtTV1w6acq+huKAHYbAtfw9ziTeng7Zo4q9jTomSvXX5KcNHQXkcgCC6zla7H3S5P9fhj
gsN28CpBG5XkPvhoFr02XVu3wx9jeKlgvJiTtNrrlRs4G4rw3Gw7xCJ+7PtZ00g15ERp+cMouTil
yjRJ1uPbwOVFV8a4bFBvRu2hMb1xh3knZqzJyu9tpmcH2CHdsQ4KeUNP6Ax9w9O3xJqsneuzAwBB
EW+wXge7IfH6L32F9kc8w9q7GYAbgs2UMWHze3H7NtglmDaOI8Ab6p0qbkQC6PQFYYIP3RDkL0Nl
FPCQIvE0Z7r/Y6L8a2eS99tj95TXajKDTePkzTsvc/1U1lP0kTvevAlyzd4Z2CgvYrCeK0ZoZxOk
dsBq2qZWxhaO8zzUIcTYskd6PCEMUJKkjdL6Ubq1PNtFW9x7sPjFKtEKylXsMcu7yyy7ef5ue44M
HpuRD+ROlrHwVxNg2GLrak2FgRjrr7cNPJu/Fn5JY1VVOmW9MntO3UsYUJscRvns3mrBNIvDUHfF
q0M5MzG7Ok7fu66U57LQ5ZmetdA4p2JM5LbPBh8+GhgTsR6U3ntsK3CrkPqpKRrWU5Jo4gwE224f
JC1qJ/zV4yqm+SU+FS664h6jQJdvwsBPdkDezGPe6YBMk1x7tlExLlYWDU8Msq69Zh1CrtAuNPbf
Ib70a2nC397aPLrZxowt6xq1poldVBrDGccunthyHMqBDlau5lyZ3SnepIpwAuXMhnWFbfO9Ac4V
bP4524K/hBndvIZF89/DDb9hRtYnQXKKtzkHOXEs4gq/brC8zslmu4QbbF7MqiHx9+ucJnTVac5X
6cJ0DUv1lPxrDe58EvwZeQf+mBHAcKy/c4N1uAr/7wssCQku1p7awwvWBX+6wLZaibWLtWJl62W4
drhbXqC/aPGqFRhrt+ga3hFMw43A/w0Aj/ruW4w11bTl5u0fYJjrV+lzxNicLLuesDV0rsAPO2AI
frSA5LkHzqOq0cCtVU6YeXwagDw7MrOHQa+r5EEEqNVPeq4qqJJk4BgG43AhfT1GqxGT5LjNcphy
azj9+YnqtIbbUE3Qxw9r7mGGM3z2Ow/mUh4T9N2yFAGqmVa0qNFn23OKpSPosq7JCmh/c6SeTXD1
E+ki4dwCxx2xuujFd/o+NHeNjWbqN7LQE+D2sZN++HV17spkEjdTFzTTY8MaOL+tQmyT2wlP4wwx
vyAIktVV5lyjpnTElfXH2K11zdHkvqQJun5OwVpmGLpDZ7j+c54vxtf/PixfXxum5b/KD/Hlv5wm
OE+UnwS7CSoMj9uvR8whIMknG7MsDxE9ujbP0b9EIlrE4SCA2/RMhmZdbfH+9YS59Gs4BoFLgpM2
GhMP398wmhj2/3nEiG5Yri4g6Ki94J+NJrEZtyzdrG0Xx816Cjzx1hlJ/jTYcX1Xdo1/gyDMPGd6
Fg7MXmMUBDfdjCOUyik2eQSTfNxrFfsqKYnY7SjlipinYSsEM2o/ZMgjge25XIVp5uonivXC5652
8qNbwtg4eE3msP8Y8IYce791/XNemG61TtuZErLcdenfFQIBtukqraX5Oo0eu3D2vs3EdzCuW2V9
6vUyGe9AO+E5pZFR0QGnuKF8ws81j6ozF+cDNHi3OUK3ih/aQgYGAEC3AxqQZt0LL7ZRpyTBCrd1
bYWHqEuC2xzf76tnOjEtYHThEamu9R2tqOEPuxdUPKSTl277tpcvfjmKl7oOqLSOvPbKv95OMW2m
wB+BOohuo7MAuM10SslwSg7bVvTG1bC75jqYsDeFV5j7PlQLsAoYPFN2gL0TtOOl8LuCtVJM89oq
00r+ic6o0S0aVYsapcPVaksY+dMMjO3sRoTVkaGM6Epdcv3mTo3INhEIwgFxmY1QEbBk21hgLG/G
xHS3zmhgIzR9UolUp5Lt30cSHWyl5ZP3LdSL+hG1qcr28WJD8xZLWr3Y0xpinh+kZUHbNpMPPTGI
myHcjIuxjQta2h3KqauSHfqIyFnjKDecwc+/2ES8dPwN0Z9qH3bKO2fNAntn03Z09AXsbzKM29qk
3zt1Z8ZnF19L33JmV3O7qYzefivHMIyfNDpvQXFyKneM6UHidysSyN01GLhoYRTJElzfi6ZGPgJ9
zVBSm65Et9SmAmSNcI4WV7sJulykJDprRvRPuQogOi4annS72th3uCf4MEuPEXLdwA9NXiNpUDo3
L2rgaCbANwN6UPsdzEv/nk904l17s9OGO7cF3HgO2qo3Pmu96ze70vCT53/OAfuXasQ1Dn/U/32A
4Wt/SfAqhGChbSCkedBWfw8w4hM8EHXuqpYLV5CO/H26EmBgiUNQAKVAjSvev/0OZDo5BglnMgDz
V+o8/BvHq6Xzjf1xghEcrEh/8LtMl/8hE8Gf/0GC7yesbBoHy2jrCK3tqF/GoEvk2lZCbOh10KcX
cRYM7lFwoT6EM9JtWAfjNW998ZgoYTds/P4ug7JYbBMl/FpKAqbspr/rlSzscPM42WqcWKWaNXnT
xe8dmXxMJIjvtKqKsZ1Vdd55bIgXo+vcUp56KpX/tV6ssI1yxcIOwyDrGWUjOH/8FKxF4mKi9WLH
uASLtbZebLapaXdYohW0zFY+3Czrgh3tesHWsWHsI1fIF8Y2De9/U3Z38ZRO77gHR6LjvhbdFrWb
PRmL7deCaQKZb7ED62w2vlYS9NWw2IX1xTpMJS05usVQPDhp9GqmVtRv4sVxbOGApvuivWv71K03
Gqcle8k4vuuVcdkNTNpLI2JTB8oVrYds8TjLxe/s0S1bElTHkeAl3DEUtzY6wpzCLN0uxmnToMYD
7hd+ag3vE6KIclnzS3Zu1HzGvi/UgmO/uLIp+vPurQwm8io0e3uvLS5uYu8tBZDD5NzPE6Lyql48
37bA+TV1Cca5yg29Hz35kbekiaNXGpemSzVYgMaRpAx7P4YOmgqXPqzJvU7tW+0UQ7T2FzN6WMqG
VL7yqY/Ksq6Xnvg6Kxs73Dcc7eBDnGenMJRNQ1nea2kX/o63PA51l8gVEJ/FJp+aU/Sa880eqOKs
v2jKUx9GI6ILNbRxsYYNqmXHbgzWgiTXsE8SupVWJqtti8UiPots0qYbRyKmgROTk4DBPI7AeQez
pCuEmrV7K++yFDy1k8H7HPWsOLSI0rRAL14PR7nyttpiBEkarfk2LPYQdyiLboMvDf8IdE1zj41C
XihP1+mg8n1aLzqDupTVsHhQGoPhFuQS1pS8d9udhbn9VVPGFV1ZWLKucQZsbxhb6qFyaD7B7CIX
30ugLDAiyswvlrLFBJad3SYmv45u6GrvOgwZrczM64KPCxPyimoHPDa4djTWZIsBJ8gkpSuLLSda
LDoarhsSq+0oypW7+HmmtpqgA/Pz2bMxbPDCKx+QuViCMJRiDzKUUyic+IyuwJfDMM+IwZJszt9r
5S5K9Wp+R9Yg4xj7HlJYUSBHRsqbhAVDYIVPedCUcymubfOKGzo6hMrX5NsZFieyK0QWCSI09Sqd
GxFv3MUV5SwOqVCZpbgP4Juixy8I9mOszeHFXbxV+eKzAq/Zf/GhoZ4cLl235uLIatwEd1arjFoZ
WJlox2lhP8blkL/jc8DY5dFBVh9oJmT9HBIEHjbsX7AbGmpD3S/L6mFZXOdqh53kUiQgoNVqu5Cs
VA/e7DX3VTrC38cnAhWrsNqJ5wubZnIroLP5OCNVTS5nD6u9ZbEulyV7ovbtWFJdH48FaCR2ZWol
j4+61C/esqrvlrW9SZHNqV+W+T6ZUaKR4HPfXSSdHiz9EGICYLfj6NsQFxpQn8UpEGRhjmtg4hhk
YnDxyhSWtivBN3xmxxl/NlNSP6s0638U5RTD7C+K5tGEYnNvelXGgtBD8FxXLEzDEx9+2a0nHYvJ
mlqzqr0lO62n55REEIyd2D4YQG2+emPgfvMxUPq7WtIDtk7Vf2ltdOUtyyJLrjPdDg/TIhqyF0yO
4SIl0lU7HPtFYHQYqDetUh09XD1v/Pjqc6Q0yUx08ZWieYRKftLJbjZqucUileykofc3Xj/oR2xU
4sVQeqc5D+O9s4ignpXGV80xWzRzNFJwfMileY7sOSkNtSeT/tApXZWhHInVrXX7huAGwqtOEv3N
HtP53Chd1gioKMqUVqulnvOcKv12UEouxI2KTqdF5TUXxTdf1F8AsijBxqIKc/5wWGkdYrE2KN0Y
NxgasqPk5JCf85XnvHxoF7U5UsIzhBCMwhP23XktNXNI90bf9TvsKCjWrhKvp0XHThdNO130bWfR
urtF9/aVBN7RhDSSKEMYBwqNRt4ouRyBAeWc6xwqer8o6v6irvtKaNcXzd1Z5HclxMtFk4+VPO/B
6BIHLUO0TzBrp+jkSPltJMYPAvXo+4BW5rO5qP5DGbABALwEVYW/ZNnqLItXK5yM7CyXrWylFrRY
zNnVusveNlArXLlsc/E0M4QsO95k2feGavWbsAP+/z+aktxgVkRl+u83/9vpPwCTfn/dz6HU+mRT
DKxA3C4DIEPf7yu/+ckhN8uVn6GQQhjD4GL/+8pPdFUAH2QZ9jN48oc7PwFY1QqM1QQ2t6Lg/o2h
lN30/xlKITIpPwjCHirDn024Bfgvu6aAyqp8eZkJYJLZM8mxEUtMnfu+doOTOyGEr2WFVu7obfzh
V2m20Th36ZIyudmxL6N3DH2+iYca1riLHTwwghu346JMY1XYzptxcOMj8RRogIBWJem+sReH2fOa
R5vM+4ffk2LNiTSi2NfpV0uK7ADyAq0g9q3kZLSEHWUf2ncC22e2tuxy3pdekO98PXS3yZRizdA6
l8U5Iz4nfE29Q+sX1k0uXesWzwATZwuW6qluK6Ikmte9yWa4l00dBrS4WA40tolKN29Kss/6oPWL
k7MxVjn7vI+w0gtWNeZ0la5MXNV5HszbJAGSt00Cn9HDcqa23MSz56xJ9Bb1ykcJLNdlBTxgVfpm
8QII0DrYiBG0woyhfpOnkXXPIRF86R1/xqnmdeAcFnU9WZT2RonuqZLfx0WJnxdV3l8U+u6nXD8u
2n1hcmKs56oMVERgknJbZX1scC5ZEkYJC4ACuOl75UzMcKNaEISa2hVkPWjgr2JZJNTLUsFaFgzs
8Fk2lGPlelsO4TJZcaMp2Y7Gjemv7CbRdWCIsRjm7waNMd1Fk30Ja2bZbzhq1UGMSJ41Lc2h80WF
75+s0kjCr3YhzPQwZRQjOFPXOhsbSAUgh2SEwTpa07miqPilcHHbDJVXbJxcT39M5dAfkyE3zgIn
7JpOm3vhMYRDhytP8+zJZ5en7mgkvPJXNlLBSwcp095V4eDwLmDo36ZRb25J5ITIB30wbnkaw+9G
KuMNVyjjNHR2gWUYEuzeGkIYdE3EK2yKsCjNUx8DrenK4xj7xu0o7OJHb7deRLKzNS/sb3yiHcVw
Z7C/oT6Vb6TvanfdTWN0GGTbb6ewFVsCfskq5RZyLLHzYYkZXe8lF/39EGsXAyx0sppLl83rTNkF
IA6a3yeMrWN7cAYkmclKitspGupN7pSHZEi12zRl/TJorwzrrOgofca3b3yBCHJfaE2RrzPHfIqE
5WIY0eutTu7lUfbAJEVTfJAlC9liClaXk4xoXY37cTc584une1wv8ua7FY7mm9a2h+W70nIrXpGQ
g32cTPZu8Ecs5bL8ov6BqB3uE814aeIOV7pIKRDgjNsFMMKOQf0/5J3XctxI2qZvZWLOwYU3f+xM
xFShDL2VPUHQwnuPq98nQVIi1ZJamuqNZWzXyYyarAILyMzPvUaPNhYTqoNey47wQ6kuSqv2t3hW
mWvFHmVXLcvzjkZ3hRtgS/CytONCwakoSeITI49PErUM1nnY3WUa5FcPd7p9tCdO2hDBjoWBSKEO
QnppTD3D53IELWMPSUILKuwObRyJjpQS1BkwY/vaqFLlUwYGAMM6BRRlqg7LARBzm8gYl5iNem+W
07TqqcAvmkIGtB8F3mkO2HkLtepSMWpvC+XFdjnHP9TxFJ0r5qC5wSi/V73u2JCHrSU+wMfjgyKL
Jn+OkQ7Vua+9r7LCYpXj3c0/mig7GdQ+Osjaql92UANWqSqbWy0okYuWQMxlCsZ3CDp+khpHkBUo
+QLLu0M+hoXTJieNaHHpkpcchpMyvkP3AEs8EPWunvVkMaZ8niCBh/mA7K8jxbobPfjuWhhqV2nZ
Shdp7SRg1WskdDTrU1Z7druBwMfjMzQfyTGv3HYJdG5U5j6bpaO5CXAIBC1ji1zVP4k6/Qw/PWnD
ZFoFBT+W6KALnhOWwDjMDPiKV1gWQBX/DCcJNxoQRNUUDDoTdjwewtqoXZB59sbTpfNRSfptm/YD
5Ls+uNJStV2osT4dZF5Ny5QTUqGcyCzwVwZ+Lk7dYdnIo0/0Csvbv0WOYlkqIf0nOQr6OH/snZGk
PL7xOUlBY9nApYTOmGED2aE19YzkMTEPAdmp25yK8PS+ds4Q8TewS2KYAWiSGYQgx34Z/THlEIMJ
aEL01HT5txiwirjIy84ZM0RZQZoIOpKNQIlhfjP7Y4F0gVpBxQGXcBGWVjYupLwN3JxA/s6KHP16
MLxbZsU44yR5yDh5tCv9uLbRaVgMvqSoS4InpqONYjxwABT30+QgOGSEg0eTQorhRxje6GzbSN0f
Bdl6mWGcMh5JqFo4h4UJIWAta51HF0OX9U9DUMW96yD/ivFbYrZ4hpEKhMtqjDxvGZPYIdur2wAr
0ft10GrkjMVVsqdKUz2boUSOjE+FEKoFOJ8bWd/SYxof0qxpL2vKE1TnpVi+dILGdFYtbe5DxOWx
W42bOpXWOAKVxQFVAAhyVDAhK/VaL6OJEApaX1SYenUUoh61bT29Ulyj0MbLIEL3B9B6FRzrtWVi
b2dBc3Kxu2ipkvwyEKzQ8bRMnNpty3GEvmmoZXTuD2XXMOckek+h5p9rfm98zptKI9XS2+kMtCKF
ejMqSA7qsR/dMbhsPppxwCil0ZWbWlY7YmnBGYIxh9VhKOs0dHAm2rWLwLFo+JsDAOM6x+NlM/Q6
NutZksXv4GXW6gp+pPK5tSsnXkejhNIUDNoLRkjDpepl9XvPqYNmCxU2mBZOHBXV0rJpaC3NkFYh
Bu6ZiHgtZN8FuiplyTPOKT6xF/cQeBLYKpp0Mj0Oo7UuIaviaKfHrTodAlSYxlVm5OGwmOQxo+Wg
gF7V+4TEaGSEgsh1Dzlo60ADsHDTjiYd9WIo1QuwsgFgk6FCbSpP7FI9ZOoM3wYxGYlY63fmSQpc
+irKlV5yS9uOlUU5ZIqxAgNNXhHzsShCoSzHQoJ2gXdJ65xCocnapS/IRG4fAZddyLXT3+JZmijQ
q4P8XjYUenGNqQfoaYtZcSqmxqQ21ujmgc0wmbXDYHmIS7+lAYetIZBQPHUFQRAui9WZ7cooWhbk
ZKXDZdAqwwlJDeNrhGrqT+bQZQfJPN4WBkaMuuexN3wM4xg/RHU5zWNxdR6Rd/O43JpH5zw8xuh9
M+Rs2nTkhCdLYtROXsjYfQLK2aIBI8bxupjMR2JGX5q5fOJrtbPVMRUb0Vlmmq/Og32HEX8uZv2o
SzD2p4fN1jIEGqAwZmBAqBkVOZnslC7cN+u+dOh/KUZSHIxgDtvV//9R45n28PPaNvuJBarQZnqM
HEhDyfDbGa2A6kTHVyMIPEYO4CQ25SnsBQUIqMPvfClvmVsbMhNt3FVAldgANL9EDmOPUQyAEWIH
sAzaJb9V3jLweR03kM21VebR6FNx6MrfxA2p1kljENdpmyY5qLRo2GpiSQTQLdBR5I8wsPHrIFW/
iLBnzB78PPsHjeqzPMS/8F//ZNz07YURqaJ0p4pX0Y5gpM7PX4x6Mri1FQjwpWKB1ljbKMI8wDOC
E5hEqB8cB+E0Yfjp+dX5aJYA8DO/rJRVQ7V3jiEM1U3lm5eVJOsfRlXGJaPMsvE9GO3QXsa9HF0z
gGhUFN6UoGcjddldLJX95IZRl3oLNOFxJZRsesutyenjVmOPzjqxD6BrE3YFuMf3RtzJarmIyjFA
t8appKMG+Z964QdY6jG8ybMPkhQoD3aPwIuLNONH3fKtjcYEK1/4o44XpdLJEzKBPtWwG5DSgY9k
/twsII+ZJRwwuUayUhdzZBv0ISK8ZdYIkivSuT034D1an8OFSp98cIOppVWA9pA0LbNqykes4DEe
x566YlKV+S1536h84h0dTWtx2E6jfZQDeNwWARIvBRy0w7IL9XwZd0r4YWyV8UxvC+sjBexwg14O
AhGaGlnq2uz8KtwYrapsLLCPaB2V+MVKwVBCC4VquJ9DQcOR0i70swkzcMQiDei+CxiWCRhVqFmX
NfKWjctEzipa7nddDhJ6R+jY0MJoY4nyjRkOWDwLf5ITkAciRR4VSV63KRV6mMbZKnW0cFqgf9he
9lqEiB6ion7BXMWOrkLic7Pi/IZKiy0E4ZVjWKN+nKojD2dvMeA2Q4SkvCCOlqFsZJifBYWlrdSg
8bqN1jj6TYjTzb5kKZ23xLBR1gWE1lIW8pWdW6UDLp8+cezXJCrlnLTYJVOlZdh0TbwtNM/21og4
YsBgKan+yYbzBKV/ToO8OSWqZAQbjsZSIlVSR22fKoTDek6kkqx1oODOCRaw++K+JemC0Ez65Sgx
qVgzp2UlchvHQa2QrMVz4taTwpkil+vt0X6Hma0P8gnPTQTHsvAi0btgvx7qBHrAwHZngBh22Aug
HxjxdwCWBJ07tMn+3+Z8F/LAP6kL6u/VBU+hQbz18XzHyJrROcLtQttPIPxIzZ/Pd+oCDnbSf0D+
80n93L4EyI9jCkEB+L/FQEQAjb5UBpyqdEIZCFuc/ozjf6t9qX5z0JJYkNGZzPWpkWmUiBrk5UHL
NDDxNERta7LI88aLse3TI7az1XrbJp68lZ/UmO62lrUIIKiSXvjqUeoAFfHiCL2tQT2BUI9RAYzw
Zdka9bk2WAjZNehuOOYS3P66uFMksqLSHFT2I6iSa3R18JQN/JwCflAv9VT+jH6dvmzAEkH8KREH
hAiMqwrgQKbsNLsUxdV7PBbg+dtuUDLonqQej3fI8ScZWeKyFQyxKa+DBT2c6ULCpfqMQ6Y4BUO9
LhXpPsU/ATsuAFagDYv33gg41ouQGlwiWuYvZcu/smtjpU7BtO9lgJaqCFE2PJeFkxbA6GlSnFWW
B6uop1MrhKKX+STVWzVRwoNKWO0NZYsh7Oy/FwsrPqRRtXfh7M9XzF59ToVtXysM/BQLK79emPqV
wt5PN4s0BR/dEBQcJ/+MIo50YJpBu8DX0Xbzyqg/aYOWoqeAdWCCKhEqRpDFJ3wFGXeXm0nTDjqn
GpdOmGE+6NXyRssnUMJJXhuuj+DxcVv01VE8Vkq86LJSXxlw+hZVaHSf5FIJ96HCygcT0Ph91Zo+
E9TAEXte1R9SFgDaUXAvTqykvAp7/bgI0nOv76VV5ufxpoliVGq0juugg1CKJ3wPo9BxnXyQ0YxR
lQ9tCuHLLABKyd6kHnne1G2tSqndAIb64ZCryZGpj922QDl1FSJS+UHWM4M2oi1v6FRdWWGPIU5t
X/lWn279uL6gFYl4QWJXtBQhOo/p5LvN0INRmCHVjGtOagfQQetL1WfdR9GorLBaUfrPQ+Urmylr
w+PC7L33Fl2v80T0kzVdUty6yOgZFii+TqLdzE60hV2utZ5agCeTPVS0UlAzxlGNnpsUXbdDBtXY
k4o7akDa1iMomaVSsBh7BOoOpd70PkZDieCFPDxYZV0exKjrLEf08vYlQApnoNUM0LVDvcQLRfUX
bNJmhQyQfDlbTMZ2NZ5gxJsfoizenOoY87q6JWOZQyMUekNK5WbJTbk0CqJwEjB4tM1SOsD8ILmE
0TpcmZVXubno0JdBYtybmJhdRLTuwz4YkOWgopSsQl/kg3+JYPcHlDy1E78f2wvce0xmfRatJgNR
3VpMA9jmDAZMq3eOmfD3blPl9VoVgwOQKfmmU7H3xYkeP3NDQtI2nD7lQzhtIlPrgRSHHCx+KoEA
VvSzeATX3jpMvStTRcCoR4Ik66qPEeaXG0TkR1CO6HRPVTehSjHdxXYLIJKPdizvM+BKvJkFZUaM
PDAbpl8QmuBL0ANxcWkIllLT11cWIwnUj1iGjoJ+ZGdM2RY2BDkfknQrzNEyjFdVfxmPKLQn3cSI
BYWME/KF2g1Bty0m+gyLEYtNl5nDnd5bt8VoyNsWlYH9TJ1i10rwALRN5Qjb7YcMLyWqYzA/chxf
1tIYuFkhPWBec4ItW4flqerTGe2VbpmbnKhDLF0xgsDl1WyNtUVD4M4zbO9Mictum9dy5spafziV
3rpIFGYrkuava8SkYDFN6VJWObyyND4My0lWGdV24zKn6t9G+ai6PRKTyEm0Cn3TPJWOe8F7MseK
9Lz60AqLHUo6XLZ5U+Mkh7BexoMqQzgLhtZK4vBx03Dyl3+fbICW3o+zgUtGbs13hpnP+QBvfq73
BApZAdRvWUi40v77mg/QIDSExQvBeA7tX+o9HBBg9MHEE3YsHDmiY/mUDwj9YOaiFGeWhaubrP5W
PoD+3uvCiw8CO40aKEUlZHvT+KbisySjcIgyK7SxeloqQmGEufwROpHDh1yojyCDml9nfSDdItmZ
HfFtx5ueUvSkBWm9RObHoX5J4hp+T6xcVTUaJ55QOzGD1HgQuAmov0INhT4P2mVCIYUDyjj0827c
78mQoUx34yeJeL5CnUP9XEKygbPWneSdmiwlmxXupi2YoJG05jCCYHvXmnJNS3CK/YsQbpt94Ode
4LtGWXsY1uc+JihIU6x6Gkv6whqGPlpSWdiHPa383q2NQgKMkquev2xAfuUQzfyYfnxpAoduc5zj
ld5WWkqmQbGPnH6CB6WZGdznMpVLbDodOf7QKlbebcJmMkWrKpXPPLX3BnTFsiFbypUSguDzzOZ9
nSttdTD6jCRdq51s2ppV3F3ZMSU48SmxLqsoQ74NH/ToHRFXD9Z2neD87k2NAyAEyZW1pE7q+Vj6
wKljH2zPCp2oIVhnEpobCxu/lqtG83I8YHLDPKy8FhZRr6YZor2RB+vO14Hy0L8MvXuwJ82Vbndr
Cbrzwu6T6AKRFzW5GQMrFRowk3zVjV52akmT3izzommugsHPMDmgrlnlcT+clfgFHyDfzEGZUZWN
qwoAD3wwfToa+to57iR4HZNeogyMR85pjvFCswrwc2WOKwXtvemEtXbsyVX20LVDfREgK+QsB9zX
403nJJ0OCJm2Ku7ElWF08j10D4pxyUaea6PjiD2tSXAZ8K0qpYyGk2mCv3dUp7USrSHkBciSqkWU
ctzFxbRiemLiOIT0fnVcalE18R3oP2AYlo7Dwo9Jb91MYX5LtZ9MNJqDoInzQ0j37UDDeoI2jdZ8
PrrBMHj1fl6R8e53s6ILgQF1F1tG6AWSZnllzOovGaoFH2pLaMKECEuaTHmFVoxdmsaFriIgowYl
WjJq1YzHXSkDXEfoeNs7tegjzgo06qxGM8zKNOWsUhOl9bAdMLA+VirT2h+TytpEIMw2vZC4qa0W
waQ2aJOP0ogETizEcHohi+PMCjlZIqGW0wvhHGR8glNDKgC7xmNZo6wzq+ygiI3iTjyr72RBVbOm
kORBPlBzm1mnB5sdEFZAYswVeEmUfBp/DGribmO4jpD6GWqi7GIIav1SF1JAaBRqd8zrptMQOwsV
+XpEgwrW8l01KwnBaKuQnOkCL1ybk0pfs/G0nDaKHgt2oN4urZFTkyZGKYMwtFJzHyVx46CbVYwM
IWgU6174MZxVjhytTbplZyB+RPsEHSRt1kSyEeo/7YVQ0t8nqFFY/jioXUHLufmO7v1zUOPNj0GN
IIQfNR0KNpolOzqYmqci19lTFMNiBzHqAtA7E3ayvGqCf/3T2SMg8OsKUc0wGFl/bWKae/DnAOiY
gLyfyDy/g9ERMfVVGxNlGZqrNoGTyGrq3xqR1ngSFcydoc3i+4RxYzqcAZMLLtB5Ni5prdXUDoYQ
FAF4pi57vWsehgJTL9lrlE1XTulFlQFlI6DpqzA3FeHbwCme4fe1hglhflK1jekDo0Qn/2DUzGRb
obDfDzE5r1nctoZtn0epSnXWfBwr4Lt9sNGV4tCy3oUFOSTs4CMp0rDSLGTcj8uiuWBG3bngXpCL
Vx24xFWqb1I/oubrvOYwaLT2IqT8uQ8i3CiXqV/JN40yrEOrQigunqile6U9JuHEGLANMkT7uyRo
0gXaLN0lCJv4uMVz/pLMMD2ZTGM6h0eii/JRXwfhTRJL8mFWFkBXQjsylip+PkxMyuhjW+RBzExH
yZHhc+Tq3nYQfWqcFhPEui8vDadhfoK0wTaA/Ry4od2UboMHwNbQ4uQqaadsTfbj6il1fCQn27Ap
lWrJbA/nnKGB06rJZXWstX3tGsFYHCq+mh85hRKcdbY/fJhwoHOdRJMPyFKw4cksJH0zuSnOJTE6
hBIfXoJl9Vbgg4fPtjiRFBjY15jDWPHCNENAqAqiGm5bF0JzruY4p2Vg53cDconrXi3Vz0jFhx/A
tNQc8/nEqEan6Srmj9HwLtFwG12obaJ6y1bCmWk5gH6I1n0jAYsy2+KoR9BsVUQc0fBjUBnB2WrT
KJFyYUiJtemnLnlXIUNGL2MINeSpY//UiFurP/YpyR+0IEDW15P9w6Builv00JOwAc+hjg45CqnG
WaVIwMeCEn66C/4QmGgc041cZCWssLUeqjVzTg/1K3RB+G5Y1gatW6mhZVx1haTvt/LQSRulbbRq
xXQQMfGyStsNhhaVv7IDrZuEVSeWAr6GXuMq0U3JxXAhs0/8UWbVR0AcHzo09W4yI32Q8VMtXMIm
eF196sLzzpJpJWd1lt1CBlU+DCqMyFXfFrpzYAkHStxR6ZtPFd6UlYpW0oL5CDIGrS5d2zo115I0
xvfcrCSVyGXVRs3bUqJ01TTUqhtN7u3uoAQoXK/x1a3vOppD5602prd10WC3F0rpGdZBymfHQ9ls
BS7fuvX1Jj1uK2w87aw97ULL+mBF2ZQsPHUASqfr03iqOZ2dwoELQIT0dfmQdJ1erC0d5ndoBart
FkWdh6dWF1V3ZTswQC4TKTqPggLG1VKZAuvQ7GPAeksrJlKCPEdYetEhFMlD6SbLRhnPKZAKmKl1
/UyzqyMs/bpEYsToTbH9uRWMPMXpQCtjXGzk+HJmcPbimb8HTRwunzEMhXRQlpYOFrcScocWfuuU
4I2Rn/r22G6jqvD26xpd52WeSaX2kFZx0l4lFL+o1YID810YCymuyrZeJNk2SZiR18xMwKSlGOts
YeCm7VqXsJtaMIIMvf0M6z6FZntGrW0NarfJtNIBMhB61RUYkylzC9moPjRMYi4GBQD6kZ029ANN
RIVuYRnUNTJHvaetrThzEDEqOjolZimD4K+1bj1BwkNSLbnNIz+imlXlj1pgn2escOCDdO4Bz31s
EgQPJ+nY13FP9nW6dy09HBVfisWoQGxYZfBs8PaSnY2DABZWQ1MpnegWavCdFqbrvhtA1Tilwb5N
kh7Opad5lw7dBdeR4mljjFlyYXV1ezCAokAfIAf9+zms2+lATaT6wNfaaUViYWX7VYTe0ybBymLl
M5aGxqEM7lBM1TF9iAa0eQLsMq/74WPmkziu09qLuPcVDmBHcZ7pSzJ6IF4xY55l0UUkJW2S7qPr
rHKSs+2T4zKsyxu/0tQBO6/Qf0jY2zbaELHxqbb7BytvUaROet3hSTTltowMaxs1enMEKK8BBTAa
Z0ifju8Hr5IPoSS3pHp5XmHXGPYYT2Cj2C95yinxwOsF5t5SknWGUNEWdHnpL6W+QObC6/1q2fWl
RFurSRLfbeXQuqBBFC0LPxe8GNwJgAw0Aa4vYa0w7CDEvNcwZrspm7bcmFab+38DmNFzwkSG8+Ns
61N+Q+J5T3HXjEJy7sWbnrIslbRI9ABwKdRBybxIskxE89ARsjQo/pyvLxsHms0AASMXFRI02cvX
xoEMsJoRAoPnGZekO78zSGDS/zrHAuVA2BZKyUCMZBm1PH7+YmKLtEiWN4m9n1pQmxYwCJKbPAoN
tymTxI19A5do22xYVD7AxPU0WNjRWYMk+J+BlyOb2dCk85NgEcaSfSHiRbWJZQsriYmYflMWY18s
of2/Z0732dOb+kwPsWTupxRcZQOkAhycbR9msAFOo7EFO6ipgYefvDV0N0U9+tdeVHbWNpDVLF63
im5QByay9qnxVEOUrsFkgOAjq1gwJSv1xQiI+IBsp2kWMJML5QSLO5SFi1Gq902YTIiQpF6A/k5b
JPua2YbdidV5aIAYjWHdZxl9YSey7WNTs7VrGfvx2pVHp+m3bFEhWRxR4S8qANTp0kNC0HLNvE0u
Uhg255CXGZpYht9cqrCCAfpQWqlugxYnOvOTH6fYMOpjfgUDbzrSO8/epxKvj0IZFXLCs8YRm2JN
DVrHXg6TNG1K+BHh+04aErwP0Dje5xIqPPARDE0+MKZd4OSaWu5kygPG5FVlekumDtZhWRs8GF+H
UESHxSzWpoqRC6zCxljFkzG9Iz02hbNTS3d2xJggzGpzg6dLu6prf1ipStORyDU2GqoF6WBHCx4p
iEUJ93IT5FZ2jq85ivFdZ2w7QsVx0CjZATOA8aAv1ND1GxPzNM6u+CqZgK05eTUsMfQr9hNvwD8k
JMzIyai4UlQ94AYQHZoOuklTkivxsQ9zKQHbaflIP+AdpGwl3+5R2XHwlrcOQWYM1XlXkGpcq1Xe
I5Dcqz7FwTThiAsFbqpHZjBJnBrt56GGhOd6fhpal91AQUFCMKF8V0im/xGxILVYqSwcHxVGYadY
C2NFbfZYDDXsFqPJwXkREj3LXkb3RV9N5AAWAyajO4CMmd/2SLAaaCfRf10w4jEvETRSD2oVo8fE
Zy0AK8L+sRJGkP2oTWhcQ4p6T8O9S11T0fTDXNhHGj1GkqkvYSkpzCXTcMRm0jDHfU8xyjPM8VD1
mP0oRam0RUh3uFZnv8pgVMnAI9JH4EDC0pJaWr1NfKk/sOgNQENAoNfEvr1wExtDTA07rY+O0+OS
mUBOOhsaO35nCRPNZNKzFVAI/SyPM9hqlaeBDO8t2krwHzEGINWfDlot01D2CCdkl8as7q/lUfIX
tQ145IwmQTu5BJTDoYqsoyTskmk1qmX10QcMf2dLVigyA5lCjGpoxHIaBwge77DG6aO1thNZvM/k
yaeaS9E5fkgyXUNBIAj8a6zSS4+c08JbRgIYfmJWTYTKATzLT1NMl+VMATtypg35FVrAJglwGfqH
hToax54/9njLq616Xkb+qIFno53nEobV974ZjtM69W3lXWujo0dIHfp3SRw49jpxQnlyNRSm3RBQ
BnT9IgSz4tRKvc8J3dXLEvT8gg5UblP+xF290D0pvuomD8Uy7NPqxdj68vs0DCb393sXx+EtU5r8
ofnf/+t2+J9baHRV6AfNXHF//ddpcZ9dNtX9fXN8XXz7m6/eWP97/rF/n7vXzfWrf6zm6Hbe3lfj
xX3dJo8XefrNX/3hU4y8Gov7f/3z+g7xUjesmyq8bb4XPolTP465n6/Th+8q9T0HX979GHwtVP1N
Q0j7MKvXXnLj9T1bmP3RGlMMWhyEwJfhF7okMVnTZRrhmmAoPfftZd6mgfwyAAVYiJb+Xvidtfge
gVSzPK0mgziUwWpRECGkwfjgdfhtCCRI4BfrEZ4rzd3IxOkL5KjdYTuDAVhvYqS5UIXu5YLyCo+w
AM+lg1TFOMymV9vSFUFy1vBMjPU0T8VIK1Q+kbkj/C1E8Q86X7iReZXTIcwMlOg+RowdOR5m5P7E
/6uFmRnkvXqTarK1LcGvH9udMWLnKgzQgsqxDu3M1s8cPKF8N1CjfO35DqoljjBQC5xW1Zd9rcT4
qgk/jEw4YyA4rati3I9UOUd2+4n8VT8pZ0ONFGsNZAngJzQAJorNOJtvMNkmBDqzJ0eMVRYj/pTq
1JLrlYf+xFGoCiMPQDTy2o/RzUXu3juzyY0dWgdheI0sV/e5mS1BjDT2bscgLu98coOHJqPvocgJ
KFJD+Ik0OIuAA2/PRQmgLfVeWI/owoVErhvjCO3sZqv3QZ4eYjWtnXVeEBx7s4mJMxuaSI/mJrPR
SS08T1rhfkKVJDywEM9YJJC0VVeoryCy2oCeWI74tr9XSG72p9lWhfXm38LWtU4w/wn3nbzJLikS
a4xmo24rtzzzVdvnERZgDQIF8SacW+uRktQXqWWlD6FVlNox/IT2Ppwb8sXcnG9Fn14WHfte9O4d
RXWOc9HPB7wmbYAMwjFP5oZ/CIsHoSamAFHYp6twHg0UYkqgBZaGFpOYHVRlJl+hqSS6FmM3JTdh
Gdu3gdHIR5WNT+oi71uGH57SC9ZFBUpiHwgdPgz1PLqQGLw1uBj72sOYZcGVIwYc+TzrqOypxwhv
noFM8zwkSnL1PMJCsF2DMmBiYonhSTzPUQBXRe+6XgS4rjbMS2ueuYRi/ILVN5OYcZrQpsdJmS5H
MA9rOiWQXGz3+mwpzfMcMDDyWTRPeVoPausmm7L4AzevkKCwiZmQ9zgfaszJPirSgrkRnQbSSaJT
deDNk6V2njIxP2fiJJe5V4H8bu2elkdOAluaXbTkwsyqsG8I8hVloX/eBIF35g/oAbnBPOOCvOuT
LXoV1RqOi3cdQL0tZL5q6c0zMiKRtiVjJWNLWOBYM4/mWRQNmBoAnRlVdFuE2QFlQ3RKotMeh07q
PUTCFaHTOySe4erW77S8xTahEQ4KgZYXh5WuY6tgC4eF1M8h2JsqvguacGAYBmHGAGhAeVdZODSM
U2EheMEXMd0O3DXNOlPLP7G4opN2NnlQWmH40MzmD/g5Nst+toTwZ3uIaZitImbbiIK9jx5DUGDg
gKuEMRtMAAfCbEI3wXKgnThhIxL4Br0zAu+1HelkeXC/MazoCsP/qMwaC+Gj3sKsvdCgwmDMegzx
rM0Q6XZGS6Xuzn4/wv7fip0i7P4oeBKFv/50Btpe5X+IsL/0Sz//oN+Lxt/OG+Y/bM4HfvY5CWTv
pr0j3IOMo1wlBs/oOAGQ++c/kjzzn36syAjCA7dj+sgAgRdwNqL/i/v0ozvx8y/5x2Tlj5/zsy9w
/21VbzBXf5WW/O6N0PcccgrARE9fVHzTFzfC2kMQn+m+AaRvfj1ynN7ejRBdjJ1uBFh49ExBLMC+
ml80Hl7cCGNPBTChqeDhH1//r1bEbd5mjUh7few3XyWq1i9uim8+4eumYJLGdyONgCwwv/jAF7cA
nhkvhkjPP+YOvc1NwWbeaS0YezpMOlJqcT/E6/XpYO0ZAmADaPbxp4JV8CZvhP64SL85v3/rmLQ1
hf1PT/Dp9c2KIN7ppqXSsJtfVAtv8kYYu94Ih0euzpCmp2/KI3+xNRQVko0ttCKEBKt4vbUbIc4t
RSid7bQxUJpHgE0RB+Xjiw98cRsQz4R4RMQAfTa/3uoJgWPebjfCEhq9WMzAt/jejcBPRtB66WG/
tXXw3JB4XKD//cnAGYjMKbiK5xvAB75YCfoejQyUUyAEfLk/b/JkYFyx20ogVURLFiil/pQavE6g
+DGtFDoz6mNQenuZE8y+3e4AKBsIJHSlnnPp10tBaD4y3pa/pNpvdU88bdb/fk/oyAATJGDhPy16
TpkXewKKJk01gshzVvHmTkeSfPbrriUFwZAc0Zh1CF58fcDHnAfkl/pztvDWzkbx9TmxdtwOMGdN
kGo0eV89fZtdwjQAMbOn2PiYrb/B8+BxWf7324BKCsotixy1iucs4MU6MPegiYGksx5v9Nu7AaIn
vlOWZPCoodbRzX86BzjxXt0AxSJHEjpkX+7P24yNv1hQfjM7+VpQ4nssThRFsM/n1+usmSYMQxC8
BJ5//FZXhJAp3mlFAGwVD9xgQPN4I14nCfqewuTH+HIwOo/p6RvcGrueDWx+rKVInJ9jwOsQaewx
/oLcCizly316m1tj1xYDSZNoL2DO9fRNv20xAKbhCFGe68k3mzTtnC3IlM6chDNl+MUpyZaBSgyc
236s3d/eZtB2LR2IE/C2UFnjy8+v1xmDtYfZC3nEm/3+j2vyv08URNcEE1RYRa8Xv2i2wHEXXhuP
r7e6+IXIyk5xwcFtRH3MOV8sfWOPh67ItvXcdntz4QBHQch9u65/amOoFAAXlNfPn6GDgfeJiq7q
02u+zW/oBOD7U+jt+vTtPVszYUjSWXx8vQ6G+h6HH20FNsPbDoba4/rc4SBQ9tAsAnkq9C5ebARq
Jg2/eFqKTzforTbatV1LBo5CptaAe57TAdbWixth0WPCquJrRfHmToSnvqI4yXc6Ee09HdcfG8Lw
0yP/dkWogrYs1N0fX28uNHxRdNzpNtBJh9bN1PV55fM9X6wHTdwldgvc1MfX421/Qyfk83rYNT0k
CcIl3bT151j4ej0IWRyg4ohcPt2IN3dCfJEh32k92AxemEDNvMdX6wAfAaxy3myO/AdN1N/FJzg8
YIRQxazhy0p/cQMYWQNTxJX9zT3350HLrrERWCitAzrHT99fpgR/cQNMgRoFwWE9//ytngQCSbrT
FqB/TD2M5MWXttqrG2HsaeBmAcc+V8xvtZmk7tpDEf11lfyYI/FxTbzOFSicCY8GnYW3ljU/b4nH
vbpDuqgKg3K+vLiVr/YCOGjaJkIGc379xh34hdD5BeS2DMLkbsbAhff1CxD6n/7CMzjsjx/wBPqa
+VrgeF79ogCoP370I/xL/Pvfr3quMzDtxQ+fgWrzdZ7e/vQF/3jpV9d6/lbP/3Eb3lfX1W0A7VHw
yZ7+zJPrFAzdn7huzG/4Lrj+yzHw00//E73sHT/+sP8uXv9LYff1bv6BG/BLf/7h9V2bfUfz4Evl
vOsFlnAt6n9chN33LPm+TLJ2vcoiR6vpe7LlT4PCXT//P9l1elN95z6JcDbjVXa9wi9RM3ZcTD+j
XO740b+inbHjJX5Fc2rHS8zL9Mfe1yoH9a7P+Yyx0/11+8e1+hx1qKB2vcbpn2p17nifTv9U7HnH
C/yCheeuV/glF+YdL/ILVuo7XuEw98MfriUh/LLrWjq8v7n5yRWYOO58hWs0278Xg55rczLk3a/x
vfDwfIG/YFsfhP5PLb3/gl29n34nwj1/BdoNu96jTZ7e3P9wLel0SHa9wvr+jjQt+cfyuggb/vfq
vqrCJq/G549+oQMgMMG7Xm+Vtf6PT1qdEnTnK8Rh8+PdIcD+O1/hJ7L6+l+wv1c3eTb+5Cv8BRvc
vU+a76ROT0tXwFh2vUmL+6z9ydL9C/b34nq8T+qffIu/YIMvrtvb4CeP4i/Y4/+J++t/7N/k6Q/3
uWDq7Po4/nN3nf7sNBSj4p2vcRP++GkYf7q1v1dmfiFO/bH4fCZEfe9trytr8Ru3yf119e//AwAA
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000" b="1" i="0" u="none" strike="noStrike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AVERAGE</a:t>
            </a:r>
            <a:r>
              <a:rPr lang="en-US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 </a:t>
            </a:r>
            <a:r>
              <a:rPr lang="en-US" sz="1000" b="1" i="0" u="none" strike="noStrike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DISTRIBUTION</a:t>
            </a:r>
          </a:p>
        </cx:rich>
      </cx:tx>
      <cx:spPr>
        <a:solidFill>
          <a:schemeClr val="tx1"/>
        </a:solidFill>
        <a:ln>
          <a:solidFill>
            <a:schemeClr val="tx1"/>
          </a:solidFill>
        </a:ln>
      </cx:spPr>
    </cx:title>
    <cx:plotArea>
      <cx:plotAreaRegion>
        <cx:series layoutId="waterfall" uniqueId="{00843589-7F20-40B7-94DB-634672DEE4E2}">
          <cx:tx>
            <cx:txData>
              <cx:f>_xlchart.v1.4</cx:f>
              <cx:v>Average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_xlchart.v1.8</cx:f>
      </cx:numDim>
    </cx:data>
  </cx:chartData>
  <cx:chart>
    <cx:title pos="t" align="ctr" overlay="0">
      <cx:tx>
        <cx:txData>
          <cx:v>AVERAGE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AVERAGE DISTRIBUTION</a:t>
          </a:r>
        </a:p>
      </cx:txPr>
    </cx:title>
    <cx:plotArea>
      <cx:plotAreaRegion>
        <cx:series layoutId="clusteredColumn" uniqueId="{9B78A8C0-C928-4FA1-AB56-71FF9482E35A}">
          <cx:tx>
            <cx:txData>
              <cx:f>_xlchart.v1.7</cx:f>
              <cx:v>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9C59B3F-73E8-4C19-A6CC-191D7D81EAE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_xlchart.v5.33</cx:f>
        <cx:nf>_xlchart.v5.32</cx:nf>
      </cx:strDim>
      <cx:numDim type="colorVal">
        <cx:f>_xlchart.v5.35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MARCH 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F869CF4A-18D6-4B96-BC8D-3A246DEAE282}">
          <cx:tx>
            <cx:txData>
              <cx:f>_xlchart.v5.34</cx:f>
              <cx:v>PMS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5H1pcxs5su1fcfjzKzV2FCamJ+KiSGqX3PLuLxW0JKNQG2pBrb/+JS3RJjmevtFqxYtRPE2EeywQ
JIhTmXnyZAL+5+34j9v8ft28Gou8bP9xO/7+OvG++sdvv7W3yX2xbo8Ke9u41n3zR7eu+M19+2Zv
73+7a9aDLc1vBGH2222ybvz9+Ppf/4R3M/fuwt2uvXXlH919M93ct13u2z8Z++XQq/VdYcuFbX1j
bz3+/fX/fLXr16/uS2/99G6q7n9/vfeK169+O3yff/vMVzksy3d3MJcfMc6Q4lSghx/y+lXuSvM4
LI845hQJxR+H6fajr9YFTN8s5tVbv/b329//aknfF7S+u2vu2xa+z/f/7s/d+wr7Q7euK/1m+wzs
5O+vr6y5bzY7YFsXPQxFbvNNro6/f/Xf9rf+X/88+AVsxsFvdtA53Ln/bejfwSnXxdfmGfERRwSH
FFMRqocfsYePOALocMgwfcSHbXF4xOdhPU+GaH/6IUr7oy8KqHfrZv31GXEKj8ABYEoZe8Rp344w
OpJUCkolfgAK7+P0sJynwrQ/+wCl/cEXBdK5M3a7T7/yK3/N1ckjqZgCP0d+2sqOqxNHIoT/CQkW
9uBdH0xos4inArM79wCW3aEXBYped7fJM8ICpiEICUnIwh+msQMLDCMSSskJWNQuLg/reCoy+7MP
sNkffFHorO7v7pt1/ipaV9bDf9/dN431rpm2m/f37Sg8goCECaGPnk6pvZAkj7AkTEhCfkasXdye
tMJfM4g/easDRP/klS8K3vN16Z4PSYyPQsVCqsg+hOER8EGIZnhLOg5Y32YVTzW83bkHIO0OvShU
9Hq6z9tnZBPsSAqiZMi3bELumZjYuMRQSbkl7Qes73E9T4XoYPoBSgejLwqo/7lbF+vhGYFSkB8B
UJJvfSFYym7wIkc0DHEY0u0Ltsb7wC0e1/NUoA6mHwB1MPqygMqG9avTr67Y7tffD1vsSDEUCioe
GTgCCr4DlTyCLIoQweUjlOH2ox+h2q7oyWAdvsEhXIfjLwqw67Yrtxv297EC2YGFDLEfWe9+fGJH
DJwjBTR/TTE2i3kqTLtzDxDaHXpR4Oj7svtTgeavJlKUIy4Z29KDfU0iPJJSAmVnBxb0fRVPhWVv
8gEue2MvCpjzAWSI5zObDTMXMlQQkh5+9mkDOxIihDSL73jAXWb+fTVPBWhv8gFAe2MvCiDtmmcl
3OQIh5JTtR97MD0CZ4YQZVvgts/EQ+z5voqnArM3+QCYvbEXBUwEUnz76sb29812r/5+2OFHoZBY
CX7o0DhBDHyaehSO+PYjH+DZWctTQfrFWxxA9YtXvCjAFve5f0ZXx484kVCYQDt0bYfNCRAhgM8J
eMnDz0GG9H01TwVrb/IBTHtjLwqg5VdXTnb7ZP99YwIIlBIKS/kIwX5qBII5BQKB8Hb4QHZ9WM5T
IdqffYDR/uCLAunaPCfNhuqRDEPIeLZEDhjbjhHRI0ZD0IboVjA/UGA3i3kqQLtzD+DZHXpR4Czv
nlGbg3IEkpCN/qAE+1yOA3SESMzYo3UBo9jlcrCWp0KzM/UAmZ2RlwVMZv0zejYoJG3qsRB6fgaX
HbPhRxCZQkoeyxloIzTsQbNZzZPB2Z18CM/u2MsCqOxMt92l5wg9fNPQoOg2tuwXY+URwwy4A96K
cgeJ6nKzmicDtDv5EKDdsRcF0LErvj6jggBFPbAQhNRhIoSPCAL6LcIDm/n++U+FZG/yASR7Yy8K
ktPiGaMN0OmQK8bBaB5+9jMgeYSEgLzoABVYwlMx2Zl6gMjOyIvC43tj0vP5MHUEvEuAxLlHyfgR
gIBRKLfFV2AFu7Hl+yKeisne5ANU9sZeFC5n1jxryQdDTYdwQgXdjyqbUhCiRJFtze4gqjys46nY
7M8+AGd/8L8anf+0uIeH+CH0773mL/YzKqDNIKRxsQ39oNXscDN5tHFvEkS4n9Tt3+znsL9yfz2/
bkX4bh+biXsv/m9vVzxf33UlLHp39/eerb+4+9/jOuGU4H3bgOIap5QQvg0vUM/Z3faHdTzVNvZn
763/99f7gy8LnfuvX58xbYFuj40ixiX/ZaMVO8JIQjPwVoJWB6HlfLOaJ0O0O/kQod2xlwXQ2rf2
We2HHHEBpQCydU9AuPa8lyBI7oiehxA9rOfJIO1PP4Rpf/RFAXWxNq7dupxnyS+JUIjibagHd7YD
Ez3iUoIu86MX+IAJfF/NU0Ham3wA0d7YiwLoat1CJfQ5O3PCjXgpQ7EbcnYwCo8IhZ5TDsb08HOA
0XZBT4XpcP4BUofDLwqsz+5ZtQCoiRIgB4w+ymn7Pg+iFoDEQcvZ2u9D0e1/W8SvadrDrAMwHn75
oiD4Xvh8Ro/GNt1PAroKH60BQb1sx1oEFEYRdE/J7fhBJeBhOU+1lf3ZB+DsD74okK7L5ywIgAZD
kBIh2Mnjzx5E/AhB0sOk2jZ3QLltl2JvFvNUgHbnHsCzO/SywJmeUT6DaIKhEZQjiCI7ZgNEQDAS
qkM183p6OhQ/px4i8XPkRQHxBg4j3q+fUf1XYAkhHMSCBsKHn/1cFBSCkAgCnaD7BvK4jqfayMH0
A3AORv8uQPtnHF/9PM4Jhy/gfBM48p3Sxs4DSY4EHPaEouFBO8R2eYv7Ck6wFuA3tnvzK7L869D6
q/f4D7uw+zEHWwG9fBYaSQ8Pd+qz/4LDnW9d5vwzeg1o+4IiFMabSuLDz5734EcUw6knELMeRw86
JB6W89TndX/2AVD7gwcQ/ZC6DkH6rziB+2VdfHvWpkrQe9H3Ui855EQMgylR6HJ5+DkgqI8LeSo+
B9MPADoY/X+L0H8+P/3jpPli7dfL70fUd45Q//nod68Ch+YPpu5pk3vfc+uiTu9+f40l6Lw/Dr5v
3mKP/Px4ZB8Y0Y8Z9+vWw2RojJUSqsEUSsahBInl9avhfjMC/nLTZw5lSuh2VgpC/OtXpWt8ApPo
EbTOCGjlVAjazCCXfP2qdd1miEEDAFBp6KoBNgZKM8zafrk3Lp+MK3/sxOPfX5Vd8cbZ0re/v4bD
kK9fVQ+v2ywUWthAOQVhDnp3ocIgZQjLq27XN3DtALwc/x+Zt4SlXazzPrXVeDyhMc01JQ6p0zlH
U3hVSVNaPfY2Sy47L71fUJ837WlqxjCLmkqUIhqJaN7JrrTtosoGM1wrxxOjA25rYrXpahSeVR6X
qdKMEJI7mJEhusBtNSe6LlBgVxmRTXoiJ5byqEKpE5esbAcUwVcOnG4s6rgufDBh7QTsVNSPqUz1
GGBXakExG3Wbu8zrrs3oJeNJ8GUOrOC67gaUa87ldMlaZb5kqaVpRAsy9VEpigrer2DxoNmQ2Vxn
oZHVCQt8UmiWDcUcpTFJbUSHVDWLSYy+1kkqB6+9TWq6or1wYimQrVwU1JmYTljJ8k9KZuSKJczh
pTe5uW5mr9YJDvknZ3x4V8VENVE78c7qpGn7TE9dh8WnmMBHfjS49lynbBiLy4nkqjgb+izvdelI
LBcdRyw8ZXk5ubd0ToVfzNU8kGUmZ9VGspLhvER9Eic65V34wbmW4rfcJd18ydOmu1AiDkfAMMir
Utu2m8/yOq7b67aNUX5K0i70uhIkOyeCjl67dhg/lSYOu1WtwmRodT+W8QeXpD1bDSpIipM2Thqq
jahTuqxtW39tptJhPdehvE1EGScRIhP7MBTcf0bWB3yJ88wfd2Fd1VFSleFtGzvXLNLBDu1xM2d8
iBAuHNNlyAukw9A05ynnwaCx6Ca+alIhpyhjts01mkQvNZgAldGIYVnHvBVjr5u6a0+8C4K7pA/s
oMfB2nMct8lN4G37DWjMe29NlemkxYhEuQ+rSudpaN92gystbFBWr/IcjzQK5qYJtJgJ/UjcmGGd
MVRMWk6c33SsT4nu0w6ZyCb5XOk+FyrQMRlaov1YjJ/GElTZaKy78pb4wDZRSD0u9Cz4/EedCw5r
w9gWK0JdWOq87OcsAjmjuU9IEd/GQ1FeS8rwV4vmNF+1xo2D7mRd9gvRxzyDP+3wJQTLrzXqEGmO
YxR3lbaTok53YzmvWcCr657yzui6bsZZZ70L/QI1MVc6TGo364TY1J0R39BWW0ScjQxv6aBRPExI
Ezvj+VOemfi2GDCTx1XhSHnOw85U8OgWVfu2NIQlCxkra3XvSfYGp5zcxFOVXeBg9vEiaTJ0V9c9
mVfGirHQbZ+Gn1JuxB9eePXJSZmXuq+wtKcup96dJkNeXNe5Q5kuchIzMDmZVpHyobkn7YSM5k0d
IhgcZhK1dTgVmlM3mCgex/z9kJhEgStL5u596nLzuUs3+Kg8tUxPHodoIaYBXN9oc4J1LkaX64SG
NTgpbOpLFabFe0Tg05axTKcP8zTQ5Lov2kbAcyi67KYZWRMvKApEtojD2ZwwktTDsYCDYH5pGjHm
S54OzRR1tWNmQYO8AIOqRYN0aVlutYoL0+qsk4roQHW0WrASF8Wi6tMErcBHJ502Ltt8O2UDtwiY
62v4vr29bANCmXZYqEzjOaziRdjQWKwmGfSfAyTd54LVpNPDEFS9DmpihoUfLZ113oVTCn8aP2oh
W3Gdt+XwtQ19c16NZs61Ubz0OpuqsVq0gtEbeGBHvJziIlfaMJYMSzvVIl9YrghaVGBwpaZ09kMU
s46W0STCdFhKWVXJdZyg5LTJumzWM5HmxtZF7/UYz92qJDX45JoBBOGUB4UuTN0Wl/EsSnfuizwt
dD2lplsyiEGdzmaeFqswLrxairgov9iwhoeis2YsI18redPGQTxrXolELHIP8Q4e69F+thbZLmra
EoULBab2jjHhWz3H1J3FBcHtMjMhTyPDqthr8KYIaYgZXaOnmvBQ+6DwBow0D+pFbpxttUtJ8cG2
SVwupEcc6xr+mCI0ouoDsU4FUdNl8PD1FpVJlJcF/5z4JDNR7mK7aEQ6J8saV0mlocOZ3Y3KolpD
rE8/hzwWqDxlQ8uH4UMsCjBoLZIG3w2+KK+6ebaZJniWp7zNiv44tiT7lo4kv+Kj4O9JYOfPeUea
2yQAXxhNzok73HZBrCeH0IfRpWrStG3cN2Z4cjzO0p3neJ6/WEy6SxXj2ukkdlTpqk4bt6jr3GaR
rR2+mfyMPwqemkQX0mVKDzD7U1zTwWmmyHyT2WD+lgW+P8MS3EDUWOaPhzyduyjppbpmpLCTTqGn
keu+IXWiUZ24Xvukx6e8k/DMdEMmwDWC0Vgdd0NPwVB68S4zAcqirIllr/OY+XrFUlN1CzY2Q6F7
nqHLJK+T23YMslCPdUVZxPN8Cv8wdMZ51Fq4PeWqhSuZTBSYcJgyPaZloTDE+N7SdaaQT2Di7HF3
PhBTjG/mueBjpYkYuvDCKNxnF8IEfQqRZZzj8p3Irc8WQ5gyeAYyOcYnXRY0aNDKFAifTgHP0R/N
VIc4kqzJiwU05KpykQlaXYauDvPz0iei0XJO8a0MzTDc4Wky9YXL4zxYgAcuwDPlqrOLachiupk5
zVE+JfSryYN0iCiaijYGV8Riv6g7G8eLefQoPm27qUs+itkHbNkGbZm+81NfukUepyg9ie1ghNUC
vDyOCj7BxihPJoB9bvv4S8dYS5doKBU7cZ0LpdO9ynsWguPKVV2uGs57dF9n4MZ0AJ2q6HgSaTDM
i15x5gfNw4KFF8r6ePrm1YiyqxYcRLPytAibS5sZ11zGKEvVaaIyPPNlAdxiHBYzKlG+Soaqk+cm
S6mJ2GycuSA9y81X1wSNWiR+RABTygsfWRbDQknSxcPJGHeMjroYDWV33ei7/Mxk/ZS9gbPVaI4a
oNPBcdnWHp3F1dTXEZrg2T3J66AWqxrNWR7BY+poRGdh8YcWzcQem1oCFYYHmY/vwz4tQ11yPtha
p6Su5Wc1YPxpjIORHBdhF39DHZyfOy6zVEzgJbKJ6CJGKNVkhod54fui86uw7qU/KfMmm05hz7Mu
mlBv20g0ae2vU3A8+XmSku4+ABp9GY6x/CLLCckVDqfMrnDTtuSYhr2algNIHSSaJY7nyHFh+GKe
pQ1h03p3VYVtQJdTh1EVOcGNuQjgi+WRDCiedAhUe9RNJeuv4BNst+J9G8KjjpFlkaFDH1572YGZ
4zCnbsmAdtTA1jpDIb6TultCiyX6VlOUAYNXtgT+nc01XYqO1ES7MsnihcByzIGD9D4/BoLAGl3z
EewtVhy8XgVx8z1TVsH/pax+5xiw6VU3Sc+jZhhYGxUxHsWykja9qZop+VYSkWZR3ouu0Gpk07mv
4qLWLVBqv3ClZAaOo7Wd020tBqUbVYjwDCcGtriRKPkY4EpWUSdMhiJPm7SISt5lQFXqDCVvaNeY
7rTkzo5Ab6fOnbMhr1M9JfHkonkI0vJEDa6SUVamM9N912XlZT02ItEuD2tynik35bB5TZAs+072
NkodHoJFgAAFLROR8SVzc5hEGbxZvkBdncSRZ03W6rSayi4yQzvJxZAmw6RRq4bbPphzYNFt4u5N
ZXO1rOOyTr9WecWmZlGbAJKLqbXVvJgFbt0c1U72YRdR40WTadf7bqz1zGWF+xWkHYrnC8kN4bEu
RxrEy2minkRZVkp5HYLPj8/m0qfNlWyKMf0o+TB2cVQ2NMVV1AD5Z++AeqYUCEJTFX6OdlW1vdz0
1lVTY03yeGHdj7/+63J7C973a9R+/n5z5d3Pv11X9+Vb39zf+8t1dfjKjX7w46U/72PbZO0/Lmc7
UAEeLs/bZtF/ZXBPP9hTUfb0A4GBfTMGqfV/VhH2zhnvKAk/5z7oCQqUASYgnkoQBiiFXd/qCXCu
naJNRZpBB+fmeDuIBo96QniEeQhUUDLQFODUDf+pJ4gjxvDmlA6ICYRvGnX/ip5ANn2Ku3oCgQUh
sblbBE7YgxK++dK7egJkQlnDCrTEceeWQPHTy97aykdF39hz4FHAaBnJv0D+WQIj9l3oloGhAV0p
2XrIXwMKYXzO2zrCXhXVRZIA0fambD+OUG0vF3lZmfadbLlao7IohkiqIMWagm4Rnw5dHia6pGBP
q6EIXHrimQHqmJYW9WcVhHyT62AosVkUPZ87XTZZ3r1zae7oNzoOXbLMXdcuk3DqTnwM6un55Ots
KQMVH4dVW9iTvhHlqVS5+ZTkhURnE2NTpdM6HsgpxyKeL1hvEwOJXMbbZGUapk7zUOTjcRv0CVlS
nBq8NI4NG1FBTP0l3Bgp60gx8LMQj+MRPFkdhyjqs7HNv4ReWQmcpAuGN76waXhVIpO447rveXJa
5Hl+YgwKyuN4qIdxZZKMg/ctLSSGOChaekoDlr1tVRFUyzxrDY3SrLYNBFGJi0U2JeyD5YZHdVuR
/NNQoiFf1Cqpo8kCM1+GeYVvTAzfbNmoCk0LkD4kAec2y2VehRUCh0v6jxB469NCbFSAuDqWyPP7
KaRFv4zTAkudhjyjyzDgbNAprmOiqyCxb71VwTfaN0m9zBPUDxoSmG7Q4GgBfTahP2yQlf1SeTrT
675t+QnZ8DvFs/oUQ4x9Q1g8r0SY1c2Cg5g6RRT3wSpzRl0UIwumBUgTqV1NpZk+B74w46Jr8+ym
zYvxQ9cG6KYBlvvVk9jegXymkFaJYx+A4Uu64PDIrGyax9eDjNMzKM9NUd5MzQqnWHxVdZtfxGU2
+8gQPEF6W411GhGVJcdd0f1hAupOTJeYKEvMe95k2YnC3oBEUeTLBkj0TVLj+BtWNb3EDf441P42
Q3V+wnGTfCiHIomcF9VyaMI+Au3DnaK2YSuHPD5NXbLORkx0jKbgZG7IFSrz4o1i6QSEdLpVqcjf
bj5WZfK2Mvgyq+CBT5VCq6bq7EVQJHdxw2/rIn8PyWF22ohiXoR2Pm4qnPSRz536gw8pTqPUz+Y8
n8lUH1fjPH6Z27E5pm1cFEs01+SN78P4FBjP8LHfLFQU6axNLP01xya9yIzIT8o2vITMnje6F3aI
SIVP1BT2yxKykmNGJki9ZV43H1NIug2kOm2/oSxdZIVBizRk46JqAtjGPHlfVGmwoDUGi1Zzlv0x
tG2gR16Co5nNECUtpP5GJfMiKKi5yAsG08Kxve6S5mMRJxY4D5miGih/ByJiGHxSZoBIQ/glHdS0
asNhjMq5dh9AA8xXIOetTD7F1RMC3UsNYdCL9ich7Pvlffs1ie9q+GMM2/TlPmjiGNoNyOZwLjBF
uNZSQfHpQROH6z0gtGGIUXD2EITxTZ/oVhOH9kXoUYATo1RwBtdXQeR51MQVXNkC8UspIkB8YnDO
5C/FsM2HHMQwCJVwKy0I94xCpxcsbzeG5XZiApPhOKRlPWkDmckn1wn23rQyX7MakRto/uL0hFZ9
cjq2kEtcga4AUhAUAbovFhIpflZkcIkJqJNpXp5CAtcMmoCcSo6rrEHuZDTgnI/DpoVRi1kaL1PM
SAfUseiiGfQ7clUIlITRHCdxf9ZCiiyP25lkxdJ0Pei8aQs5QFoDQV1A362boqRjwXpmGEU1USBS
Z1YB505miY4HBs7ihDlPNK65c1pADigWUxj28Zu+pyoHvRFEi+NaGQFiF21Bc8AhlKdATVLDl65R
JtZzPvhzVjb9smuAcGoQEhK6bKt6DE9GVaWniRznIQrGeACNrh7m4h3qSgFiejLXQvdyEP3CAnOm
OubdcAy5V4w+4EI2y6kAEfwYRO/pWAxMlBFI5v4ayhbNaTZUaX/mq7ppQJfKqrMCi/amqoLqQjZ2
ildzEo9siXk9fpxIxfCSWUTfpsWQbpIxr9pl6jH9rJiT5bKMexUDe0fxOU8xf4MgqQ7eZKAWfp5M
BvqMFDa7gstYO7coVdPE2iaJWfOkZqVuYefXG68Xg54NehpUJlgnT2LIVFbBEOSrIfZT5DKEE60C
CTHWgae8m0ndfCpsn8/LqUnlhcfDOeTn/bzwIdRz3uApAFl2glrHOrbzsOhpSSsN9QYzn5VVIK9G
SfKvASh12amYAlkvijkzsEdt785qhotKz3BuxEY5QWEEFeF01KmswcX1Q0dmHYp5Bq/pVIfAV+bZ
dF7GJkg1TAz8iuFGMICczKVmoFhGo3PwNIpJqD/EzMq1siABvuX1NLQrVJoKfQgD6T6QrDerJKYz
+HuM3Rtazt1ZVgl5V0DKU+iptPl7YZqpWqYjruySQRWMRNVQp6dlm/Zd1MEeAdUxcX/jwITezJJ3
pS77LiiWREASK1o7fUqF8JB0kZiCQCp9VBWV/VQ3bb2usTIuqtymhoKHERRLZ5NyNRbDpHQmoHQV
jXkYfPBFIsJlLUUy6QCU6Pw4U2P5pm/ioT0v65A5nQ+hP2YjxH/iNipmL3N1FYCdv5dNH5864cvF
4BJxSobSQUjJxVXP6uYmSHv1rQRu6BaI+f6uUAnNtAK7WnDjQHy1YWbSiM9pfJm6eo483OW2gHJG
BS5hAjFk8ugutMz+kbftIE47m5tCozTx+KLznOrKgToYm9mlCz+PhkHKlielroekOmsNu0vG4qqx
lJ4D3RiWhFb5WzIJKLmFUPW6kgqEwEWZFaXTqKmcW8xOGrMkAHagoQJQnnclVMp0UffmAzhloBQT
adGb0dop0AUQoBuWEtYdZ6gIgms+KztHJhYmfUsHnnzMVIO8ZglhK7CKIYmUCnp+ygH7j1DoESYi
rVdXPcgW7UnG2kZ3w5RDgQYkLp3S+b4aGt4cI4vQtyapgpt5EOVFEKg51jyXI1kAka4+xXNqwBPk
ojyv4La8PqqTSYA/TQaSrKickD0WlavBIvL2JBiTkwoMSUSBCqp60RgEUmRmOnXiTBLch80MxRzj
ffOeg1oPnNjGHycPhv8ugDfoYM8t8guVdqI7j1vfMeAkxmeaFVBt0GZSZ2MAefhpNxTELYvCQP0z
kZ2wVySb6mE11AUoIow6EJVsIKGCqSCbqXUZY0N0W+H5LJld9z5BrA6WbAqHRidDAkrRX8+nXyjN
IH+aKe83bf5bqryZ/EAzICFWcNUl6MmIgtAnxQ+aIY4gDYbrJyAnhquB92gGh/P3m/q6gjPecFgY
iu8/aAbb9MxQOFkM0R0yb8r5X6EZmEDv8S7N2HwMZPFwZIZJuIddbZa3SzNGWk7QFpBHvS/RWxA/
/fuitOElTVP7PpcZgloigZLC6UMFvgxo7i5MH6CPBsisizo7hZBB/7IWn9kZqnmjnNpotyDfTcp4
PfS2ug16Q8SK9HDDJIhRfPyCGzu+9dAqEGs/YZQsQKkt3pi6HJc9BlV4gcLEcV1OWYWikFeIQOFs
HC7HmkwWbCKYoVZPzdxClBkYRCMKj37XQxUompj1oC9mHEoiVQ0haJmo1H6KU0HXQddAiXcuUB9G
coJ7klYJIUUd8URCOGOmEkynJoXirC1jKOSB4p9HfghIpQVcXG9OeZr7qEajC3QJIRqt4PTeVC+b
vugvIEccQJ0cE2kj51S8JhlmxUqRgcZgdCmQijimwQ3Yeve1rkC81ZjFmFwpqERVJ6nISkg1pPBv
7BBXSbSpA1pNeRJfes/K8hgEBwg8I/bZxdAoENHh4uI5j6DAIGWUZDNyeshoUiwSOuWANLgcFqEg
LE6qHENka/zoLiaK5tuq9FOzdCBqCh2zahafJgtJiaZ97a9o0nfvmxR889KJ2RmNoVDCb1xOiuOS
jP28pPUYQ9jri+reZtWmMaIdGGSIEMWyYwSl+UsJgj+PkgLceR3nfRQ3qPqW+Lj/yDJGP/NuttMq
qSCkawIicKDtrMaPJYSFbvHQFfL/jX/apB7/OQ3693+2YicJ2kzdeicFGcDmvCg4IrjHaHP+/SEJ
gj7LjXgGQ+CD4IFhkDg9JkFwOS+DbmBwQQga9yAR+pkEQZc9oQgaxkJ4Q0akpH/FO8HZ4n3vtLl4
lmy8Jhx33fwzHXTjvXYagyB+pYkqWQQNMfIUFeE7C/8GgZ6pLZe4bv4veefWHLeNdutfxCmCAAnw
cvPQB3VLLVmSJfmGZVs2SIJHkAAPv/5bbCceJ7MnVdl3+8vNVCaOLHWrAbxY61mLeSKMH957rWPj
eVHjIQhqntYE5IRrSBmNZjSxE/TDPsw8Gvvdqh8KzTHgLU75sK4MBy3H/FcHzaEsbbEznVp2/VTs
ajqO+77L7zRtXgtIaZGE2JlkzgjbfeVffbxrh9EUe1bXRQJ4wT3OmfJul1Ht1mysPzCn9B5aF8Pd
0rMjpKjytkNqcSdLngPdGA4uRtdpqk7OUgLjcXjEtlfhrvJTp/gNNjPOy/yk2+7QAiw6106ZUGrf
h2HJX/yq3A1eHeB+5TURFK3T6mdu7BV1AaZArjvh6p0l9g2uz6HU/V4P2MeDXsu47db3rHRkEtbs
ZlESEIBD67SGK/9iKrd+U/ki3ogn5Z7xUO5X3CNh1RY76vdj0lVTcZuzYsW3UbsAihg8alenVWhB
CvjsYRFeiwm9fLehfgmx8R1MODyEEHwikcksged7MFSKlIUrZJL1q7846doxvCeKvQtPfZxhV34r
nKWLaZN7O2dcHuha9Puqr/wo8GDJkoa9u95cPvDOh5TZ8DCBYtRGPR18uLb+ggFa6zSz2GSdaVne
XSn5J8F0uzOkn978TmIiG90hcf2R4Efi7W2P4f3UBOStJ2yMxdoqeMQhwVjqqeDWKeR7WcDttIO/
RtQM/d2s+zXisnoPca68b/9QyLbFhA8ipjG6P87OUJ5DW85FVHC8IUu/FJ9Wt2zOXR94EesbuQ/y
Lkxartv7Ti5NtKoiGKN8yXHsmZF97CBUv5q2mm8axlRqmRmSgFnnwGrmn7SbsY9hH64HQrLpcQ3U
9JivsFSiqsuFTIZ+gukczOV3Fa5j2jRiPYRrUdyxop1TbwmHg61mYD7Sc8vTPK/3uvL0IZfceRhW
Nd9kOPdg50yzwivQ3c6dM+Bl4PPubUDVhneFO0jKJo8qhzzALRoi0FTue2u8L1I5IiJ4k79MuqUR
Hz3AQKHyVBo6jXeooMqkujXdrphWJx0wdp/6tvcOplk63AqgLad1lWVnEnTyprWginq6XLwuA+nT
alwWljK8bSxjJyfQ4m0VhXxcCoS2Y5sZfdCZreM8gE3aic2vVhl8r/mxsbne+bzxnnvrkFPGQyAa
fti9QADUB9nREcIwfaP+3KeNVNmBeyVP2yW3O0GwXrT161dRDJ+FNzZ73ovxPp/88obj1NxpO3SQ
zsMumYKhgiguMwlwAG+tkmkLrnK32bSPmbCYNJrKj9uiy19dWsw3jGaYvCUP9AHp5fa2DhaAAt04
7xo7hcnmCaS068TZBRvwQeNvvjH5pHbEccsjKKEsxeg53dbSDVKmgDd4rjOcCISjp7rYVnJuljcq
Ku+j1mP7OtkGd6W5sUXUjwE8c28MUuxey24SBMZqjf/xyfwugnnem8oLE8IGcnQG6r2ugTOcy2rR
NzDoxFddYqEKlxhcjPN0bPiOmQVEpXldmvpr2cwL8BX10bXhiZbyTmIv9LOv+fIwKxV1mB/w/o9P
HrOfmRY8tkzeBdqLSpPXsQeXI/W95oMhTnBag/qOzM231QDW4BOIhHVsxJG2LgTpztFfqW1P/5zh
AAflXwwHP0ri/6tIem3B+SGS0n+hFJTgnrEF5yB7/j4eILSILleQxMgIX9lgfMPfNVIXPeThluFi
uKy7hOAu9JtGyv9FYYF4oY+wHbpGUXD5t8YD+ufxAA+zwdOhKGRXPFoFg8efLi9u3epuqekeCKrC
3pQvVWqH3r2h5SweBeHTwVnX9QbgCDvxMc++aYfDuzKke+hx1pvYH0eTNvVsX1t/sqe28te7H0Qi
CF1wbJazWNeme8Q2YdMxGNQ+J6TK00Fbnki/r5/MsLKDanrnU6aZVckPWLFyTRgekVWpd6pZ/MMC
o+WiJc9u5LhUl5Xkk7ufhfU/4dlo7gfjzg5Per+o6PdsreoJUFyl921Gyi7qB2e+uZKM64gD29ZF
mwb9iuMGv4L5OBA+wHEo5LFyRrgQDhi6tXYCN64c630J3U5/W4gUrzhyxDMMD4Byjdu2dTpkk0j4
2qg7BL9kgbGeihj+4nAW66huIGLpBUYmn74zAIenX8hHmJfy24STrIuwDcxfmVyOrTsX36HOzO8r
tKIHkF/ssLCuTf3K0C9gEmCqXWnIefbrfOctsOV2jevLHbOC3MHZ626EXAwuSZTcMVXrW71w7wCJ
jTy6fevNcdFwL0t0A0HVbd3lbZ2Fl2McnHMfWg2r70JAZs+jXcsPruunGTCOPt6evXNUHe2hhzm1
igSOqogHjqp3U9Djuwd6OsLNY5fWE0B9BnxIoGe3ClzUyOZ9JZ3ObGh6ty9EJT/2UweciNL8camG
KdVQ79sI7EOfhnPd5ZEJuPOiGsexGBXtm+FD+O73hr55GCSBZDT+MEc9c52vHa+8PVM4QdZOEzDd
TTOBudZk07OYeWIursPgWhROR4BNDz/oTFOtcE41xuWk4lq/hbQScPNC3UStovyt5xMQL6eybyLM
HLiuG7TZCrN+CitNgBCz8BGaHpS9SYRmiHLbPEGLqMA4Z9o8VnPXFMd/E5ygo4pzxTAkhRQyONSz
tt910ps/hkMXHAK/n84/mE69lF7ilPP0CfByH8Np84CrsekmaOh0psZz0rm15wIv49R383j4QXqq
qh92Zdvg5ZBO7ens9e9BOfURDebPmAd4hIrVu0aY8FLBTxXRkgUCfKec5WfHKfr3mapnCvV+jcJp
hfBMV2gLcNjD1uxmpzVp33XDfoYkz48jJpRE903fHOBAD+y+lVBIIu7k7odgWf32XFjtHPow63f1
4gTZV5F1DokzgDAnt+6gp9bamdfbaRqKCnCP0Y/Ai7i6jDZkDkC4lT54ywCvwq3tcOuQuXvio9Ei
LpeM7tgAgHxkU/1x7cn9OJge21bu3+kJl96dpCSYkyzH9f24kAkStlkXlcWbHm1jWKtcR56daDzl
/rirmZ2dG9a2ksc0D/s7UKQgEWtfkTd/6nUT046P4mHWYf/F5/gFa9DdRSLBJc0pEGR3T1w5gZBq
3WmX2WYcQZfVgK/BYoqsjzwxliwZ8WLaM8lx1TDzWrURTP5hvw5tdSpC2ZDHdZqWLqn9+rtpM/ul
YMZ8d2bX6JuiUI24UyxwknaEHpqWEn4vSCRq17Pvci3TDtvrHrGMDii4ARQFY6eBJ6vhJhwptl//
yWlGaRKPjk1UZnr1Y9aUA8hZXJCwuXIFFKoPwVZHoye2UwDAtgX5UXJoyMu2rTZugTcNtlPWfgVP
IU8sz8ukLgcgA7koCGAG37mrwSWfe+oTkTAJ4BxYV0lAHbPuxEXv39qhKtNCs+48j06P62dmyl0W
LjyPCYakLFbUzyBY+OX8XC6u/0YLgCFDJjsMRj7chaQEMv2COYd8moIq24Hzb4HFQs7HR2oSWexT
zlI/KMD51lXHVeQCgPsMCtJPsllBHAMdhTmwKR6zMsvi2h27B9bwXiY6E9B4qKtPGM1pYoScX/4x
s9CWW/rvs9Dvoc4/POLzF61k++rfDGM8xo0i7xQyZE9BnEN5/WkY+2CNYNei+R5CHDJTvw5D6IHE
FyF9BRWTbo+M+G0YEv/CowwoIrwoHUDCyvt7Qi7fpJBfMlRgnnwfT/cLPQxr20T2p1lodKaOD7Wz
4/M1x2FyU0WNkjmNCqZw9Md+2POThcwyjHEw9eqhQFSqu2mCRb+HsC6KSzAieZA0wYQNEapLOoMo
73adFv13EITLM1+B8AByWZeLcYErRaJsgOrrtRUvRjTmYrV8zNkIfN5AJMkyIKyphRf5ySn75n7E
Mj/VLG++lkNGHjrTD++64WbYNVeb2b1aztPmPkMhhRENOxo2oGuzEvb11azur8Y1vZrYOOf6KVqv
5rbn1zC6g0xq/6YD5fppFligCdHYaO7Y5pBnemT04G++eX510OeRPTMQ/K+CrN0SFVf3w786IcXV
FYF6bZ7HzSrBGAbXxF8yOCjl1U1pGyTUEKfZXBZ6dVzGbWu9y3IOJ8ZbGiCry9WhyeHV+FfXhl8d
nEyxkSEzEjBzIi7QnUTmm+Oz9HlYPNWbERRslhAe3aufQcQCLsERCssoI+FhuPpIMts8pf7qL7VB
+x04PyJEOmghDi+dEAcfAhHCINWQP0uygsoNIBDvad13dbx6ZmnuerGRWKauw4dynvPHVdX8OSOr
84n3+fgomxLaPkJfFj/Y6uOu5vB8BLXmaXNg6zTExqPtZXuu68WhGvGvrkZOJJp8U+u4wB4qY1qQ
Pp4Cr78Z+sbBZlY3VRnlECwe3Axo8N1UejylhnnnJuNdkMhsCe7hlcxTHCwDxQctVPqLRkzp0Oad
zc6LDhx6NjzIblcMxjTOakQUIiZwn01Ex5yzQpaVR1PQ4STDgTghnNNW5G4t7JRWrtudlSmKC4w0
apK82FzMGcY8oja1wMEOwqBUuFvm6k0tokqZpThDa7/Kv02VdqHYu1nKvQ0gWjUzn6Ups0uvmTw0
ayZT1cvFjXlVm7dqyCxJAaE7JPUqr/iQIZU5HB1HQ6PvVbliMWZBG+PTycXlH7NTs7+8tf7FEw7/
w3/b/qbfFW48qxHpZhSNAuXZSi1/37UDPMUHedMQwTfcSQlG3J+7Nlge9JICH2Vsq5LjW73Fz12b
wSyD+M0EErFoxPg7N9itleCPm/YWoWVkY2lxHSbBtqn/om/bzmcyLJtUNwGWWlnMgbiwnoYmEgOx
5Q7Ol6r2DBfp8Ya31HkXtFyzGIEGfz0sS+Z/4TNwvATGjcAqyYvlGd5JFsbE5+ZsQr8bD6Z3QDH6
QTXs/NkifBjNZrQynSv3Flg60mh0rvKPngyWk6mK6khwjbwn7cy+NdOaU6yUkntRPkr2XPY6uG/R
Pql3K/G+A0c8m9wLEPIRhiCGNzVLpeNpJgtuT0CIivvMBqr8bh1JmhPCEuGg42XqV3zF3//Y/68m
t333r8aY/6N+e5zcfxd18PU/lgQGDwYE54erA9N3S5b/bvqAW/PQ1QAaG+MKpp2fSwL9ydh7XdBy
fkDwn2AZ/bYi2L8YjCM854IwBMzx3Ky/Bb5tS+vXJbEZ0mhpxrfyXbRm4Wf545KAhWtMx2Djonhm
Spd+dUyadS0LIsCfmXi0GYaLC6Edgs/WEtHhIjcPJ8gu5mxnf/1KrnnuRlH3QoUOgZIOjnMS7TJ2
6cxz9xGZwhzoBMWV4ohLCP1W2XXGpcdqIm4GgL8U0dJsPoRtNl+o6aohZsuoSeLo1d7UcFFh1Pim
DRPp9tk35k/0QXReTyIDyuceKhAEgdzgqIkniZkx6rk/nwJiKLKASvER4z0FBxcw6dnDqNp2l3mM
IJtYaf0xM01VbPcGEWCgaewXXpd6jodcz21UVGVzV7mko5ErF7jVukbGJEKgNauRxSoIosRrf8hz
8F1+65Ah8enSFVHJWTel1pBRx6ODgFZkWkgQEa9dGGFcYvMRU1EhVCiN3FfdIp24CyQCsnDmBpGM
RTPd8qvfrsGmwnu3Q+NH5urJY+6YITuJ6n64evZeO9nvLHOH739/if//BpNsdWLI4f7l0m0+11/0
5/9cuD+/9veTDLwHVpeAK0q2Yg6snB/LFk/SwB/hiYHbuvEo1uHPZYteM9ix+JuICLDn44EaP9ct
IBMsftwb8DQ1nGaU/Z2TDEfpH9ctnOLtYUXQ0q6P7bg+zPrXo6ys5hpiiB/XwMcBzZ3GkEmbOP7Y
fwuaSu6zxQ2f+wq6omcm537NMa2GtHxoGjBxXRc8ARDd/MugzGOWIwqGkglIVEDDgWmt+lk2DbDp
vNc3Vbm0qHsQ4XCCfIveAmomfFJbbfP9amr3Lndc8dharCsHUUUSdTmvL87of0c+Nv/CS1e9NUhb
xlWtvBOGf36klbMeMmCL6QCoPi0qyE/l1ZraTKoOcdg059Y7dOhUSKnbWhx1BX68uRHuF5mjUmIq
/C/SDus3hgeu7cD0Bk9kbr003Eb2qFrd+TyWgXsC/CKPrj/THW/tcIZdNSajH5ZAEd0eWLiaU5QE
yEe2LG0KJ6rJI62CAbHzNkzbBuA6HZzw2a0Ze9Vl1yaeD45RUD1GbhPCXBZtDoS98JvhIkloLgUq
Ay6qa9rHhlfsK7a3y4h0D16eWx1Up0PUagxuDAsFUViLcEbENeoN+tpnZ1MwH5Z1h/87IYNWTdo7
5rWuX2XgZSmSXaCNx9nf1eGsz5Pbs2gSUxsHmWpU1ABVPQrf8oMAtnYDvp9+LDF1nTy6DM96Wtnn
vDHob+gV3Qcg977OiG76ESmD/MZDVDnBmLCc8jbopoirdr2lIlOA8hwfZqLA7pYi2tmnbj3xJhn8
rNi3qvP2lGfspsmrfLmdcjueVO8Hr5rL/kswwxeGkykd3B/iqYMtSuyYp6bs1LErivpoIWw/uNbI
R1h6jkoE5kYZ0XwdL6Jfu12+5uJgwI8imdH66Qxs9rkoEFFWrQbOD3XqJXSm4jAuU5tYZIUOhLfm
QnruAS2exxOvKv3uAVS6WX1p3rHTDg1k5n7eBY3xDxo3qg8LyR1I/8r74LbVeNBc9Td6DhF5c5Ag
jBH0DIvof//Wimn5mmj7S3nnT89y/s+Lwk955/o4IognuCNg9sBO+jPThpqqbb1iJ9+QPCTYfp2K
MKGguxMMDEfobYP+/z0W4V/hCzDg/z905GA6++P+irkIEpKHrAIDYAMqBj/4r/vrz44c1+3hBPO1
8hCidWowAcswNDBwQ4FdyXqkKA6rWcYnegWoUJ/DVnDWfrnsZFOzN+QypxeExLvveiOwqsExe3HF
sshGaNVkIWo/grbwoqIIAHFVG8+lC0xqsCasWVNW2nqPTRzwV3cFwRwsXDctOTfPbCPF1is0higy
CV6nWQAmI65ZdbpujFkTBu25v4JnZGPQeD8j8Vtc0bT5iqnRZenWqOhY+FkSI7C/LwX8/IzXU5uu
Yyt3+Cb9s2NQC4M+Gv0aOg7C5JAgvBm9OAsEd9Q5QIrNZgDlcMun4QZZJrj7lQjzz1PfgBYp3B6s
dNuBtgu8EZNZ4Zb2tRpC/bUZaTgnc956j6oQKHAwasDNn1FqsQZhPlko4xl6SZgKw++50vUdB0X4
zcvnS15htkw9ZJA8hPBHb4oyi+BElClKP+aLv7Hw3hpCANCAoCHuO9BoMKaW6UK07U+eCeVwbnJf
7ECYCPoKAqj2EmJz66W+nIp0oNpFyAK9AV/x2yhEurC5GA+WOW9Kan1YqjO2rIkMUExGNefJP2an
2Ap2/7sQfPrc/Kmz8hcV+NrN+3krzAqh2roozMJ2sD3f5yoN/H55CjjuSLg8MQ4kC0H7n1MYQc2W
i9sRSFrUagMPx97y2+0JDxSAJU6hG/sBw5/9PUvcC/Ca/nh9CnBtCjxKoW1wPO/mT9uEdtBpZX26
b0vE5BIQdajzcfXEX0VdtqcMGKo+FhvQHlzZdikzcO68J59zWGC4BG0Y/CjWQO+XdTj1vNrql/qy
vys5HYeDyWiI9b1h9eFsq5d5wJ3rWKxkzgHE6mc4vxki/n5dvEjpFOVjOECxiIHxoZHAWDQHBKR1
9lWN4iEEVt0QI1w7HkYgZiqx5TSna1gbG6GKZWhhxDh6Hw4L5ETm2+yW86KroHE6Cq4sXlAEwm6+
I3nRId8/kLgCC3zjbeGRyJmtuedsC8GzQtYWCaoWUE0pmgdXLVWS+x37LLsy+J6XQ/9NQcged4i8
soehcucwcogBVDh4Dqxf8CcPQ+Y5ZIekQnPo/SVXUTUuXlrBkXwH9kqCSBY9vi06oNSzgSRpMI71
89mCuE3bslt3gCbZVx+xjZcQLSx95HsDOSOogxfrA4tF4NFFkN8dkUqyxfIJLQPufLKooULc1VXZ
A8YaWIdm9ekOfR/2JYA5+VahiCQmpSLIJ4ruewXYDyaw1xyntiovq6vFRcisvvfQmnRYA4RSetOW
iGRZFJ841rILrqDBDmNS/bBiUDr0XNkLCGP81iHhD59xDQGfGNSFeoaVp14COczPoQ3FfmWD/07V
ON3ZRvo75hfowbF2lN+yhUtUhM3Se678qsuiNqwo23dYMs/BMovnsuHzK7oTyjOiwOhbCnA3DiEL
ZQgTN32dpzAl7QnlRurQIRZtbkLeu6iwEar/7Okpv/X7rDx0MugutdGkRZNP2dDIQ73ay9goESM6
TR9Q4hJ+UbBN2K7pGu8TtlD17pnC+RJOOf8ugnI5oDsJjNHKqp2oLXnplCAXhErYTW3a5W4a5vZt
8md5WicA1bOl8nacy7KNYSXjjXcKKlIfJVBbuUs7vXC8ZTAjR0Ie1NorQBzNyD4No+Mhkiy12Tte
03xEcD34SMwIjb9zaSwAeH8zS2VTUfrl/RQEMhFCTU+cjOKD7Qb6zOSoy8TJCaK9XnAKs7D7TL2x
vcBKd8Mokyj2QHBqQCkQKJn2BTUhWWqdB9Yt4x2u8hT5q7q9sVCtL3mIqBwG0PXYczJ9NXgq8BGC
ubodBj7vkK6GYBKUFb8rURUU5Tmlb3aw/R3aswIXnRDoGEsbF5msFgzeQaFTye46z8nApcx0+Yix
nSGSZZskU3n7Av11+q7LIXzx3JrCpxX+kRperfGM9oYh7Z0AyGMFwvOeVGV+Abimb+tSst1YdnCK
kT9A4IyO5gXKI8hwd3Ltvp2NBGSnqtvFiO4eld79DmqMehrXon5rMK8UiGFVzeMkVNGdsmrmddw6
JX+0onei3IUvdwBQTCPbyQmlW3IkH3Pe4vRtsJIw58ljC0F2PyE+k6K1akFrT+E5xyCzLgM/v2D0
8vC23pEsrAdcJEBJxqQm1cdidpb1UPhZ/Q8Y0DER4jT8S9kSV6L/26n78yt/c16v9ZVI3cIpRaHY
tdj4x5kLDM3fwriYsV0UIuOJB/8+c4GubSA6jlvsHwQA269n7jX6i0Oc+vjT4O8oHz7BK/r1yAUf
F6DsAmyUhz8LQvYn55XQQtJQB8cRnX5NXG34hWlQmReh7Uvf4TTKeVz3xercTC7SjqYiNG65Eho1
VKyxMeqDqixGXcKKWpkr+8HEyufE4RaVFLIAHjIj/B47Hb03GzoCBWBCNRqAEbp2g4gR/uyeVFsN
t+RKnuSjQx+6AlRDtK55qC5zFQBTuRIr1ZVeWa8kS7hBLfzKt1RX1mUxld4FZnUORd/x9iw2LGZC
xaTADoJw773TL7o55N3kJhUtfX4sDNoSpw2yGWAbk7Tt8w7KZhYEL6A5nC6WRKoPrlCIGJtwjXTn
sMt8BXiCIfRk6iOWsx893d/5LVJAEKwiDREy9Vi/L3NRntywT4rCQbfkEGQRvDPvg1otWNGVXdwK
eJlHiNxtvWDHAjGXiI5rMpTcxGUhVcwIrMAxCxPTgBlpR0xDDiTjPBTBGUV21bnvnGfmVvvaBzPU
+OR2MIbswHwdYRUjEe2qxPPQj9OKJT8IfwBXXKOYDHlH/9iggiwFmIXWohHxZdscQzF/Fsa5GZDr
ifpuSfQ4fSx9jDkeJnW37oGIq+Zivf5EAJPjAmf3eVsdrSN0MgxrndQDS+iC/rFCFfMrorfLpci1
PdZcAPxHAVOWZLTyP10r7UhRqXeU+BRfejI6u9EufjyZ1Z6M1vJD6fj5g6j8QiLNLTznJFH6tJxR
3YM8Qw4YTkcNL5B15PUcdY1T1/GvJXfA7BTZZU2gj5XXjPw/S+4wpDV7N2/qT44LcSzcdG8NUz6m
0+jv/XEaSmSXF3ZwymJ8dQulnr1SVafS6QbEIaduPONVVfd2Vg5KhtBI0aHVbQHEswD43C0mBN0n
XInuxRmDRo1EbVnfajDNbtTjSknAvKBYCodrG0T9ClIm6kXQJEtGNOZbRD6EzucD3G/nmzHafIBo
b+JMFt0ZtNWMY9Ez9qDddojRPmKSKh/xTkzuQGMzDPgMjq13aibSfBir0pzdrp4T9POVCehJdcg8
WT1mTlkVCTA0507l3fBEm7ZK/L6YkU6TsORkrelvhXu+qx/XeS021n64x4cIsQ1wbuinQs7Vg88R
DYPlqbsoBELnIN+5Ph2+UbOgTbCaw9eyrth7yZjRt6P2FM93ZGC4i4LiR5XXkzsFuGmii3YJTkEo
+t1Y9KCkaMoAoe/FPKubBXw1ynJV+Joxm8e0qniMR5qVcVijQhEZIAp/HjMWKrF2tH0q6pGderJU
u0p5+iLrdtnNqCrBxfSxmMYbwN97T45pWZik9gaAs/owMiijc13cOYo3h1oPfrpKruMVRbV3HePm
NisqdGNU4yN+8+sHJL8VygIqjfIqJAGM1fxbkw/hTcdkefCz5YltbVskB46GS4R5D8BI3qvc9Dfo
8kkn0dw1k2FPuDrk311pl2/TXPEEuqmM0aWCyW3J5cPQIgBYFtxDW4qzfEZ1PtS0BY2zh34ayxSm
SpeAtUSVWd/QI7ZPELQNgsgCmxryPA1aOyA2eE8r6g1jIMTdHjhGvls0C86kEP6znNfuFsW7Ybqs
k/+Cu0K/89nTFGKQlPc5QW1c0fU8DU1171TeeOGwafCX5Dku6yGaBCd3SpRP64egsv4d6m2cB2S3
Ef7BrwZNBDY7BK2SF6RItyBxhbuJ4hTBCsPliw6FPtjVsQl62tgDW5oJEz26DtsVqA5aYMn6WFqi
Uggf1Z7aEPe8ESzDc9F1JNbzEu56fMz2DHH/nVmlOtJaOjeenucb2owqJkomEqHzcOR5mk9BjU2P
4d6RK+CHYgwuJHDavdOgKwdKZpQjO2BKpJWnvDgMqtyDWLyUlXxC982tk1l7Wo1XnwU6KvYFQWZ6
nCHSyxlNRRg/uzhTokw5G82OOy5QWVR4puhvxEJ3Voy4HC0FB+RX4DnndgE0jXyFkeVHFASFMS8H
/syX7ob5WMRhsySjk2nAcXL7KPqeRBZ9DbodWltqhTPXwa2xsSU/1VoHGUxHpFzuigmNEEnry0xH
w7RYJ8FHjAChnOsjWpxUeCzyzC8+kp6te5OhSDG2vbSpj14JdCL5KsZFdjgjky6Orl3Ws/XnqX2a
uVPUSJ3qCrfFDuJQQgaEb4H5+RLMDYqa32uSjQ8BumA/mFGOQBdHt6/jCQVAJRJSI/AUZTo7HVaU
UyEMVBr6WZRC3IJDqiI2+vwb6nhlHq8l1sId2rJxtoQqABfkDYj+h5oOR9OFmNZ9JE0JhhNwRtgz
nAwK8wD9ntEcqFNd56sfdUT56MYra1wB4DnpXTUstdp5LT4HBwCW8nPLZ/iTThESlDiZsEX8qhjR
TivEaUaNygEBAYGoaoEQVEaK4Z7o9d1R6rHPA4uA18L+h7wzW47b6LL1q/QLwAEgkRhuq1BzsTiJ
FMkbBCXKmOcZT3++LNn+ZXXbJxynr44vbYmaKzP32mt9K/qiD6XsoGFUVrPj35P7kEGW2oMUUe6Y
eKn8eXIahzSqXqRbz+4QPfMEJ89UhZkPy87yR4APn4KpzeWp7JzyPYBfBSuczRCje5VdJsmiZpEZ
aRxTFPhyMfj0RHBwZwYZdC5ztOa9HnbaZ2gx6V5jOnweLaf9bC4xiIYCZFiULESmFtbB3Si6Z33W
SQpVOt5YZ7S7XZyDCZRzKz6SDkDGXEquYb7Pk858dMRPzT9OXHNfvHDaa+CRt1XZMav8S0aEawPw
X+ty66Zs2/+65u3/67+ZNNWgcP3674MCvh1H5UtInmDS/CGuQj2nhV9HsedM8HM/GhvYkOLmZKhj
6aULtP8fnQ22y1YTzwPiO6wg2/0ngwIG/D8PCkJh7qUhKDCBOYR+qNxAP7h99BEcthWk/lSQCPST
mlVcX8oJN///E0AenPeiM2k5y/S/AJCHmQ+i0o6b/zWIPCSDGhxph6TCOfQ/o+RF05PCCGMnhnFn
jOOdhwsi9GXb1pVPFMdh+1gbbnRn5XVRrQLlSLmtlqSpdgRQ7HnVoRpwhSZT9Bx7Y1v78GV4YMvR
7ceNJwpPHr1RJ6oOgmvBBjmbpom+h1GGTbK2+Dzm+PnAxrbR2q6JXiJipp21XkKMj2sX38gXYfbu
YQCkHK4sx5gCv8sQHDZE/YMPUgIdjGRPaGdowIBAh7pJkl3ND/FgyKW9TyCIVqtUS3uD+y41Qbe2
xYJ2ExZEGq3gY6wtJ9voQUaguBpCUa5jJxM91x0R4Z2bEh9eJfZoy92Qk4qAiZ+1z11Rla/AwsHZ
g/EZ6k1YaQDmQm9UEgXKa70dIxaZaBRTE67Qp4FQS7wET7abg+7uRK+DBAKDdOPM+IZX1bKErNJN
5roVhAEn94fctD/VYqmbrVlnkeZnVlFHa+aJAApblCU3phN0yb6w+3hYxVfbS321wPSweu+cShlj
WJnn3nq5mmawhyzDGkzscBRXWw3vHCw2suyShvFB2W/0qxVHevyVb7qrTyfB+dIfsrlMXF7DecXo
0uLdZ/1D/nPVJYl5GvQwgZZ6bWoI42C0V33V1C//mvWH0iX++pj1v2VUivy3A/b3JStf+/2IxTVp
c8ZC2OQDYsET+cOFYv2C1IKTHTKVzflL5PQPLcam4dAAIsBehLwg0av/rElpdTP4rmxSbM5rFhb/
iBiAqf7nM5blB3sUTJomAGBO7T+fsQIieWvV8dprjfwi1ILOZAM68k967FgCxBV5l+66z0uX0YSx
rtZ8zWIEk5+q5R8MnOFFXjeC2XU7CER7+CgLyc6wqtv4fbhuEiuenu0xuW4YRZtpuLTV4rFLHXaQ
wXUfuRjdy5K67CiX2K6fCqsPt973HWZts8/kJcBuE4h88B5j+TY2sEW6c2hqUDuCykBUJrgDzQOn
c3ouBwvGR9SEVbGDQh3caFcKyExsLFJrisXd4LkknjVL4fYr7H0Qjhf+dkm+DRoqhebqR7R02/Tz
fOCD1vZMFhw34KrW48ALbhfIJW12XarV95LUArD5lrjd1gyTiT8mnAov5shVjU/OyoztbJYKjV/0
LXoOzSJo01pXfQtnZ2jWHFAjf+TBjAmaICIBYllMGEbq+JUQsYebjTSQhzye93sdnPaE74yyDebq
FLJvbYOi3gCIFsvGDTnN10VKswF+9YxtTCvnl1riEjzg4YHABprVsVf8kopoV5WzVvna3N03s+Us
K8xB1a9cBjHUqVGFhnAC1eLShUhN4OKjat0mhX5w1Gr5hV/N+NCm5vKV9a04TUSVFpJXbfEatqZx
A0GtXdZL16hclRYNn2qs7MlqCD37sVIrXJBWlfOqR153CAH1naKJiXzH3t75SAL9S8nJXm4aW4y+
SG2j8mvHDWsuIuFw12hd/aWIvQyKq53Im8yxUopRHFe8zfjinRO0KismE24bv6aybwWZ58Ur9nbr
KDa053GrpEUVPGbuYsJljTUXrksU8Y0kwxEDbQdEm5da5eE7ankuF6YCKQsHAPQyJRr8MQNJwUrA
nR5cSURuneodXO/wurT2UvbX3nWV7V7X2sZ1xR1e190Gi29bbcD/PWctZ99fn7WbL2Ux/9Q0/sOy
Wdn3vh+27i+gjlgzs1UGA0lY6A9PigNnmTgRZkBd5+XqsAb+g86i1r7X/6nC0cqh/vuuWVIMCLWD
H4tQNjts+Y/i11eD/J+FbwDQeFEcnjUI38bPlhQb7gF0/savYu3XsRfjuuHR9hyZ1Ia0Vhg9Yxzn
s+uK6Mxh/VUr4ye7sW9CE2FoGm9EgR4C2QJyfPZ5FjUZlgJcuF91rG4GYyz2WtlNt3nh7JoI54UW
dd42iFwYc3WurzXhvgWmTpDDNj4j80FTDqvJbxb3hsRcvmF2jc6exiamLIA7Jai45DzCzxY6pz9A
dNovIhv8HIA8ElwUbaVRsotEaQMz2yHFZ7NxpdPOeq1v54mtnwwiSjXSdLnwmukvFnFhhC28ImZR
3+UtBKt1QnXL1pkpITJQq57csAhRsLVxp+kGo+fMr2QQy7BHj4UD7Fg1D8WMPEk7vweGSHwsIpPP
YRtvB9y8jzQCuayuUntHgFg/eSyWDqNV9YfAEcuOUHa7BRUtz0FfwVIZquSLnUkejYShoUVMnnyr
83LyWUFqftqE8tFJPYcY9VjcxJ4c7nE6kNSWzUwTUFk8VLRdwawojV0pdb+zzJc69vDD1ft2KT46
p7K2Zp7e5a5GAQwEEQTUsF5pMZ7/mjt1ZWQurmaI+JH4kjbVtF6E1XL4W/xgmdD2ogFvOdoxLJ4E
zAO+UFoQCl3j3W2TMbL1s4h1Y132nnOD7vkF2NeXKFV3IMbDQEeCWupJ8sWEI5H3m3W1sCQktn5L
qhqy7phOYKLIBCU1MQdZmQhM2D1XQeMcYfvN66CYc3hXMSnrQUu2duV+s1PjOcnyx2UBFx2h/Wsj
BR+4GsOVG7so+Fp0hnHsroStfWVDdehZeTeOPWyYQ9+g7LxU5uid4nEOVwmL9FXQlV+XwUzXrV33
e9lU1fPUhbdOUOvrQIgvoxW9yk68wt15yAHRrkAjajCBrH4v7JT+J9OI1oTbXuQ8bSHRIN6UyC5d
Ps8H5ks6ilr9kMQwRMNRESltd9vJ7svC3bxlP+yyhM/0E/4m/VT1Q/xRAqXeitHAADCMxnYwrcoX
SaVtI9GUaK99vIZVBsTU7t11nufJ/RDX3sPo5O22zvjWuJinV853cwW73VjjNkN5HIKoP8IgCmbf
HUz33MAv2pKahH8NLnZMYJBGEMEUG9tUlGxKomow4JCzs3g0Lwshd29dich5WALJg0faNiDRTjy4
WP4RbsAikUbhX7Bv5AC311Etw0+W11nUI2EMxBJcBZ+TfvRCnvyWcWii/KqI4bjSBCME5pjmif2W
fW4ZFvNVAmYvWZF3n24aIcJNm8j+bEGL3RPli499bSf3Gq9T5Koy0A6cxd4qj4zljoII4zLn0mY5
Po/8NcQ23AV4TCdUO90vjWH4UityTgc/tDSb5ATNakY0VYSdMI6njauoO7ni76D0dRsJkqe5wnnS
K6gnvEJ7ZsXv4YwYHxnnln2t6D5CcX6kIv70iv2D5TfddIoHVCoyUKIYQXOiff333Lpcj39z6/5c
D/3jlctX/jHf4JPHiMWFS9BF6Fyf33fNTCo6/1s5QOVPu2ZuY+XHZ92tZg7XNv6jIeGyR3DCBmpL
gjYUMBj/REOyjJ/mG84USTyG1Q9ZABeryE/zTTdXQUG+Agq8mR9laS43jaTskPyqU5914qBPfHTy
Uz1+Zb5gcewgN9Zs+bY5hH6/q830xsvmelgF+Ahn9mVxBYqjHfZlu3SvGOsHDO6tfOq9QQyq6zDG
TD6M1Jx416d44uUGpWCptqzgH8675vpY5yocgc7GEYvpqhn7E1RGPlmO2T72oVlCN6NY4ABuBAqh
25ONDMt+3iPf5q+lkMuuA6oN6MjVbL9BisUkmaYV2NTZuRUY/091XrubvJlRf4OKVIEYRz+JZGvT
gqU/BkbJ5wQdESvHEp5to6t0P0Rm39Y1WyQHZ94WsYAcQVcah8AdeTVgfk0+V2Hk+FZvwZTWVD1e
5RE+qMbY+OZZS7CNcZB2XEkoaz5Al/qFQsOYNZThPUa2ZIVVz2VIFraNPWxAbnAEgZ94oPcd60Wz
IgN8bZ16d8MwxbikYI+wiTcm7Y3QAOVnDad9sy7ZVF0KrIO7sXY4faBnT7socjbOIouL5NnAT5Cx
vupJ+Xr3vaZ1pwz+9LEopavMpGl7XCZ119ojq1VT82y2beAYSxz+ooE6wCn6xdCX+ElQA0E5gtM6
gZ9gH2i37dIvaz0x+gODvn4yPNV4FYN0shcGJKO02g1PAoC8GqElhcV6jnhPbAZZJussq8ytzo+z
wwFlXgJQlDhu+WeRT9O+0HkusAFE2Gen3ZaVvYt7KhumrHBPVhtkF1taGQ+yytFQdYzllln8yamT
s1xqqBeFZZ+wIFMn0+XGRo8DkP4coz1evmkXpDl9UIZ3B5kL3+7gmpei6qM9EfbwluemBcOaPCOQ
h13UWvc19EnqIVk4SLlEjL/FG3sXnhsRDi05dvug1Kv3LBxR48weUjJlkV8ilzCUnrCZm7vj3D/2
SWs/xlWAZFXZh8GIMp/fZ7qxa4/uySzIo1U3WMZDrXniU98v4oGA1LCjBcV+KCAZ34mKPgheK4zl
qZ5F54zmjGcL5kYKMGZw9/bUyZvJSOGKzcm3AJ9l55tO/KnxWvNuWvAd2RaR56XFdzaNUDAah/Yb
NyMbkLdUP7g24GprHOSN6dWYmAq2yNLOb8xQZuycykqJnfqmzyLzzhzTeS90FDSov2FewfEYZLbK
B0/QvcmjGOZ2/E3LvWIbMi8/WlgdX2jyc74ugeV9oqVipqZstqCjz29h3h16q9q4dgVo1LEwZLKb
ysCPD7X7qjXuuAtb/lkMOaofZrwNefd9bLRvrNnZN09fnLLd0J8S+noXGm8tRKctnzUfweGpo3PB
GYMPgSmNhdOykQFRopXbJ+5WpwXTn3tx16Avr2anfOmd2OEPqMs32QjbWdhNux6aBdOMUfxqAEbc
sIUu11GiDQdWqgRqh9NAt9IZk4br9xakUmI/1LeWx0no7obmtzvXtY9WHH2rcmlicA3lKmvxvuZj
m97RRIq3dugubYr5IkK62Dexexq0odhA736cu+BQ0TGqt9lzBgQ39vITe/j63HpACnWjsUixNK8y
onIxDF2xKitjKwHT6smy1bP5nicunjl8b8Yyr0e9KNZR5P6aZq7zoPDpvlPLY2Bk7+Ncw2i0kDSW
jkySZrdrT58M4Nne1hXuJ6d4cqbuMfVaufZMepvayn3su/ytz8attOoFQs9yR+BlO8n4SLWX36fh
U4LjlqI7Puq0eUlW6oPHckzGuwzfzmczlyB6R+dDcwJ+VKDjcFZo7Ewr62KMCUpHODhvmk0OZhqj
t8FtJrlqy6lksHKn9BQ5Y3i0EIA36WRoOxw9Ab652roJ08wI14mbgYV3rS3TWvxOghO8Lt2Ja4rb
sk0weta2kgGupIA6u0SL3AvQo2LFHAZ/E+bBZpImmk8loy0dkykVAll/Q9OAPNdD6Wwml/yxTJbH
PAAhkw/6Op+b7hJkxuwLq9nUi7c3c2ybA0W0fpgF0aYhZLYzWpC9RT4ci2Zm7ijGeVebpesDlzAf
hFZQbNdJoMAUL3owetLEX+pRf5/jeXwIe9xDq5FlgbZu52ERTGWDToMi1TpErshsl1dxKuyC/lUL
PA+UuK290bmFA9Jyi9vE6n0tRpHpEbeOqE/xbtaMZvfvef7x6vqb518ad3+jufC13x+APNh44cGJ
4P2HkmKRi/ztAQjclpecCvsIYNkI3XzLb6IL3VaGYRLiJ7HMtlBa6DG/GfydX0yCLsqGCDEGyYX9
4u8tX3f/965s42eDPw9AVHRySkRBMTXKn92GLUIL+GRvzek9n4KUymfOFMpkjU4UmwDNnjMJK+WT
zgedFLVj91sKpttDFOrjS9zl4iKKzLgnRWR+ccPh25hoMwRqc9axtAfVr7NZu9vSSGoIolyXoD6f
OFAaqE2tdePVgUbXr/FtNvX7wWBgxz7Yv9u9NDZDWc8v5JIoOO089y3tg8le96Gs7qOhApEXLdrO
GxNxDsGKb3R7xuFF1C3yR3Mcdi7dReuAUoyXwuIRuuqA1wER8fICwhxDqJnrC4V4wWaJ6Kd0qvGW
PleIKEuT3tjucEN70MfQGh/QY6AudZO1p6+6PugV9jOWWhyQ+BM3ldDHNSa9moBMnT0nYOEusx1r
58UrKSggBYDAE6eKMaVBaZttjT6t4YPE6bTtOmZQLsnKvumcjoznEAiEGFoDj9RbVdDl6vc2jgFo
el711DTnxIsegry3DoEs21c7s9u3YnIdeDQ5thRWYgD6WufejbTuKe9tvG9dMX6aTEwFXDBpejNV
2hRTskdl4dhmtPOaenGCCxofhrgZXo2OMz6JU2uT9jYeud7KG4q/tO4GFEMj4U11xqYwMh1moaoM
bQnQisw8CtxQO72v3vhOHm6dpuf6MYtN2c35pWyb9jVoyHzXPUW0rd1qx4mrYirdNl1RTpDl20rD
MzawV2Gg1fjbDiuT4l/DuSmzkjhlFHkDZc5DIp4SVcg0UsxCkhcFC5NeOJ2jzDXus4h1O+UkCfn9
JjL8bEqT5zQCQ1ss5UJXhFvy7KHqM0jJNNC327psT3PnNkmtF7F0CevJUALZiZ2LjesUZ2kTP+VO
UpymXFvupqRZh2HFsyaKgvw4LWbo19RvIMRZtxVrw/d/z7nJDPk352bRh/1fLwb52u/npvMLFuwr
9dNiaGYYZsf3ezwdfRhSp0POHLO1/OHcdH4xcNtzpOLtxl3DGfnHuSl/AfFGUyAKM8tE5r9/Jlar
n+QnsdpSi0FoobaJ4qjS8z+aL3gPg8jy6KyEcAwIpWBoUPIO4wL8HyX5hFKpP4MSgkolCY3s7feu
EQ9nrfXApQzmdFOIxsWJNXV0p3NF2GeuEKLpFoKTkyA9tVcValGC1GAoALBIRfDZ0CWOr1pDu4qV
jGVeFS18m6hbpCi6k3fVvBolf2lKCNNE4KxLJY6x4EMnw2f23mWcikVnJjEv2LCFGVF6hLdboIwP
yA/ZCics9SOTY9Pl0NTrvofoQHgzhpKuO8thDqxvJUjn49AZ8UOP4LWrsyI4lsTU6QmPk4e8WWzf
wNj4GM7cJSLN9a9hJsYDpMDxHoR6rK2SPAwetWufntl6zpM72u6nSqT6wVV9e5Fq3qNqflXFEgBM
XoPa7BoqcsG/cAaHDOk7etHmj3ox3E+jcOhBoElq78SxceDVPh9az41fxlQTN0DanWdMguVt7+j9
zACRuDdu4OZbu27ENhYAQGqK49cl47BPxMp4YmslT4NQDTxOXO6oZsBvnVn1nZel7r6pvfYY61W5
y01H2wfhGKnecz1ejbmM9gVPQN+l7Xpb1G3mG6mZbOBCtXtVPOgb1BZhb6vqNc0OHMUICw+EQG2/
aCbb72N+wAFX7S1vgHZPxap2WHSvvxGD0fkzHNbnGc7j19JoxI4xx9qKNJbvhkrCxyoTX7NyfFbJ
vaMjScznIdl5eY3RDypRP2JMWeVt2ZwjvZbIvLTbjiO3YTZ72UuVJeYhZhUD3j2WZGGI5NuEu87a
1Mjtcg31e9CmV/NA0t/F2L0SXgunIZFEtnAh5YoMkHAqPkbUjNuYw6EHOFeQwHKFCjiKL2Ao0kCt
mANtV1svpuIQYJcx9oSfKIZVlAL8f2VEXhd2waAoBpXiGXSeXq/bK+NA0Q4GkbXnRUJAmBQLoVVU
BEoqprN7RSVQomHiqYGfIAiPbDX4ut8UtfMD+Bx/XaDGcUMDHV8Uf5woJMWYhT7dtXZcUYFDun9u
IqZ76BMUxiqOeRhipi2UTEuOSvfdq3YL5dbeuErQ/fdcA3+b1NmV+Zdvf30N/AEXIpFD8NRVhg5i
sC4H/u/XAElXy2EfydKQg1j3fszqGLTamJbrsbeUxGi4VH57PXukY3/aZv6D1zOP9J9uASRTsrsu
4Gp0VMNWj/sfb4Ekd4e0QVB3EuHA2KupWOsmZDNjanf5wIZ+NeWyoC9F0/1W9B/GRCKsMJ3iEhi5
ODizsLaDM9DgagZzs8PPLz9XRMsvrC7zg7D4T/S1YZcaJBoAF3ZYlIxuIMrSpafO5Ps0Kac9l8dQ
PS+mFPgprtRWoFuXRHFYzSuSFXVSx86ASx9fa79bPL6yrSRuW2wLzVqQQ910Q6WvZgV3xeLbY1LL
iKOkY3mXx86XLMLv32eYkGuef8M+UgbUWVlRqXqd/LKv+UB7/CK1ZcDtriyrTpM5q3RMirWctfdW
y13wzD34XA4gSMshL3zg/aA4QBPip/E2UVIQgq8m3ZeFdxws74Pca0H792hTYo5bNpPjp8BaHmeZ
n42gNGGCJCPpRm3esIiMfZpyq/VijfVJGOIZWV7np46mldbEuj8OECbzPuqgdJMswiyBtCrGeZ+L
IdlrJjmTfAlsHOsDqkwYcC+Gs4Y92bJWhZXczaOlXeopOSZaertQNW1F3dHNF92neJDfvBmN1NOV
A+Zg8KrPJfzp91h3Q/zYBtKtV7XRRccdBJnfo3lEenjW2XT3fj/nFWxN7Ot+OXHzL2ZTbKhabVWP
j/ktC9r2BAo2/TRN3N297OevJrvYDWahGo1DFzTT9ZzGAhP3HfyPr+M4B6s26QRa7ATtqjXaQwvl
YxO3vPAR671DWPftrg0XyWTU4NFbzUx9EIHbxLciGtd64gH1KjZFdNIsLaP4AKz4fZjo/E0VQj56
evygYV35JKhYOgICN54mQUDIN2c73FvzyAU158GlaCmqWDUJLwDSqr15r4Uz+9SMTcQNGbbwRCHS
40TRa9hlOZdpkZ0dC1Ft7HBis5ENiQ3bjJMEgXdZMlBqEQ+IXb3pUhKbLLhSNCIWrxjlexPF1Emf
FjrsSd+aI5megi41sw6bQ5cFgE/4w1/XsBQfs8XtL3o/4qUsdWNX2XPFcqGchpVlR9bH1Ey4pYyW
r+nGvt+DN6vOJmDRh7Jyy6M9EzQoPDbdWRHxgcvDerzBMhjQDVt7l2CeiMRn87zrYwZTmbGyhKQ+
rWUNLmYcLGfr0orCatT8sC1LoaQro9lUqAgrZ+qZTuYlvy7nUYiia7ckTRnjO0mk/qPwBGMpJcro
6tI7j0ncboWV0Azniq6842GMxTIui+JTXLCdWAXX5kokIPfWZp57V7PTIRVAjdehMJAfY083QfeF
EGqCBV99ZvMeKEqajwOIzBRNECQeoqI7ycVz/azXwtsumLBQiMI8Nm1k+bZ0tGnVJ3PxSU+a9GCy
T21W1jRDtbeCjGwincksOkl+rRPCM+iClAH3suWpyGZY1Ys0T30qpy/gOyoSX21c+Z2t46TlbUKz
p1Aln/qCn5S+uams/eraAMrKuuG46o1L21fVuSiq+GSbMnoUXV4/QAQZY45gz3pL7SGJVkkmL/OU
GZ8tu6YdsZDTQ+1CViXWI4BY/2uubVWK8NfT2yH/G6gFX/n77MaEZeKD1wmu/wYQ+312YwTT4Ydx
mXOjmwZf85vmxYDGXhN7vGBMY4dm/OfWlr9ASVaQTEUivrrq/5HmhS/p59mNZmuHXxqvZ2EAS/7z
rd1Puh0Ts1pDPTHXRQNRm5UeIadocFdm5Qmab8Pqhjbzdl/qA81P6dBQq6Kb0YsIKrkORgzyZHLN
x9DRuy29R7CF05PZjoxopadnh8CLa3+wxmo9aFaz7aI4PXKX9Xf89gpu8/59SIriRec4OBKEoxBG
VcMoJ+Y+MUXNsGS/lpSp8fbFCpCrUhlN1cvw1jBOtqqc4S5vtu4oiP4LkjgRG1XGJsI9qrCGBCSu
SJ12Nl1V2ZCYc18bK5KnXnTezaIqb4Qqv2lowbFyJqmoicJjoSpy2GHy2L725jSqQqdTZTq229aE
S9N2oymomdMItrFu5RxAmRknZ4Sv6CoMmq2AaGEvf60VIi3MFS3N0qJyS50qqMXQhZ7cltHOcVWe
WdZen64MS29PVSE4HmY2SMfQjGdO9eoJ03WCKj5S+FPa5ABJN2IxvFLd6sr+lGD8ZOuc3OsK/Yac
rtE4BA4OX4/3FCMsbpciqL5h7uGOBVg0nUxvh2n+bdIHqjslba8zTySRbLPanW+9unHepN2bx2ok
dxpLrusZi6ifjIxcQz4FXEWedc5KFMwclM6ZRDNNFW7sfbbrmt1cV7xi0s8g/WATYXTXqXnAJDKB
kE8KthlW/hUIIxMS/71p5bwche1295kZ9l/12Sm2Fg3A2yUFxR84Bc+sia6OfLzMeLu2o+Rp47XJ
ZybIfqd7wfytMwuDjXvkrdsmvkC7JqXkLutyrM/pAtQIOATztdZuGjlEx8IJESaijkVFKreJSQiO
Ze/47+m4UfPDXx98xzh8B4n6V4Z29cXfzz7GEuI9EIKhtGOOxHD1+8CCqA9mC6szxx68caaaP84+
Q1Ae7kg0Ld47jDQu3/TbxMKPByGedTkrBMvi1PonRx/m5z8ffYJtwneeD15OpB9l9PzTwFIOQ9qP
yaEeCoQJsvlrj94z3/BGGiWuzb72teU3UIW/JgVgRARTb/jgZUztR6DKgZfJbB70drRZzGGhKw02
2IVNnbCwRXDAlmY+Jd3oXXq9RTuXqoI4XYyFz2B4IdvIh2u89hS7Tl7c4SLpsh3+N6iNkSSItZlV
wXFmY5Fbz1TGgEJc0FDMaxsyNjj9jXLLp+ZalNw0qjNZtSc75OjWKTFKzJdwhU44/paDUI3LDj3A
lGTrDY/HSnUyV6qduU9HXubltbTZ6OMEWZ7baq0VRhlvnJBjYrOotud+yrFuuqJyP4DUaHu3zKuH
+FoRje0kJFFKb3Rq1A2t34OY2u3UTa71OCdFyRp1LE4DcXpzKxpaqM2p1IuVJKIMCn9EJd0m3kRp
tQdffT411jRwqWit/iVw5menWAZEh2J4bpyY+sr42n5dZyIYV1EvMn9G7ozXlWVgxNYaarODDnco
iVPXrf1lqPr0YCw8Em+qQVh3khTvxi3Dae0lVfYE6Ly6C7wx72jOS4wXxljK1yaWOH7uglTGNNfC
OjfHY1I25le7jK3Pmp4zfYLlTJAhw5j3eYhN9l2AkNlPZTiG24jn1m1vpc0dSBrMhdLLHxyIbrdF
qLlf7VFYT0S2wdi0vXXqHdHn/hLL/jmME+7TGm/tWXci65OUqJqrxqQq3m5H85h7o/3o0PXH3oJB
lt6+dC6+0mA0HOGBls62jfjcbSbyOc6qiLoSQC3mlJ1VGmS7ulyKg81x/MlKavZYvWE8VsRr6bdp
5tolsZz1gfkQRk03n3WrDU9jGEWl3w1F+mzaTQMHyukoW6WYiF+8nruqerovtIci7aNfSyo7Er9p
CVzTzBbf0EOd+5aZe9/SySnOXZCZ7z1/dmKdKpaBbwKVX0XuhNdo6FP9azU5yYW6pZ6IAtImM202
Sbomw5q+Im8mrc9OatroVaZg8bWd7tIiKz/zbxaUZ2Iu577HqdXiF2PflU0FjuVqueujOltIQeQJ
MFSxhK9zr5VPbHvbZ84h1XTZUO4+h226DyFTnXKFSZquxCR5pSc1V5JSq6BKQ1DOL9CU3CcSc+KJ
f6eWtZsSFxJT3nXmUxDY2J4S4BU0KqEY3vcK4JRYmJRE7soPuPveTirQEyAhkE+jkTxFZgYHqo87
kFBXOlSc2P0tqAK57xwrv9cMMFIOn5TbsIrNCw8J69iUlPUMijzFwJ/fQU9yb6cSLtUY9sUhVawq
QnDVr5MZ6H6qSFaERYJXR9GteprFt41ByQ+QnjG4Z94AhJUOCopF5/Db0qlhS4AK5cqGnlVcQVpG
lBjnKR6SemUp0laVdPJroehbAJYyTgiIXIz9zP254nRpkUJ2JWFhInnSk/AxTRbaIxmIdIX1sqBH
UEG/ZKTb91mYED4JFBUM3XOkQ1ixwqj0TrutMbrVN62EJeaRyn9fFF9Mp9flnvoK8wIeBvyYZs9j
vHYMuwetrgBlUVOOx6Unf64rfllZxNMlvULNIB+mO35XoM6Eop65VwCaCGGh8cEGi1b0C1mmUdHS
oh6bAcW+YbfXgto7gXkHrGbnEES7AdpaK2PJn9uSRuGduNaoZ7E+PICYBToxEz24i6g4x4NcuSFp
QlXEXqhOdoOPBd/hWtXuFox5fhNbfI6KCv4gxhOa3Y1ryTsg7uxRg4a4oTG9uctqK76frgXxk+g1
Af9WFceXqkO+6yRay7VYvruWzE+eM9kHR3XPR6qFXo9CL139/z/ZOR4uA4US/evnzen9oy/+h+fN
H1/6/XHjqj5eOg4wJRCxUAPc748b+xcKERwFTuLJ48lrS99vg90VqiRUqgMrK8uyH6CmHh5YnYnQ
Y4NmE+Zz/xE6idryn183BAyoPmfANKlBMH+mFZoaJz6w0m0Nw+du0UPvzXDhVa/ayS0CdEtYoYcE
2WOdSqvXLvjSl/uWDnLO22upSJgDArFimkaSa+nIJHsKSKhloYwkhO2Ghw5zxi0OzerW0nR68gga
75dsoczEXmgBX+WeKjkpCwcRCw23e9RUC4qe5s5TqppRZEFn931tZYCGr9Upi4cHch03fbezrDli
g4cA9tRxZqQIOam3F4bGfDNqiwq0uMuBehcWXBTsrC1n1mOQKbqItvhHuZy4y22sbYrPmAByQHjW
9GbyEwUQK2N68BgxjeZsKrbYdMWMcYCCHOMwEJfxCiJzrlAyvZ0FKycrXC6Topb9H/LObLluI8ui
XwQFgMT4eueB93IQKZF6QZCUiCExz8DX90qopHK7qxzh1/ZTOSzTZpEXiZP77L12qfhlMkgpvtFL
YxMruhkUKOPLsCDPIjaxq3aQnnuA2qqtimJwP2sLKG1coGml4qfNpgZKrTT19KVXfDXPg7Qm9YBp
EkjjuVQctlgfQLL1MBV3ruK0pYrYBlCZXEZWwSoUOkQ322qj20xR3iaHyXM1LfA3awHB1TwMR8H7
lpCw7X/lozp8BH1XfI0VRQ5FHkK0IstVC2SuIXYIcE6x5+AV5q+yAliyFfTHEPGJ0+rqBwW4igzC
UTw7ztUOXRwIrWLbFZqWXIJqdo+1It8FuZiPfpDIL2mrwiOpEbi3Ms+Duzwx+2CfudC8NprJxnfj
Zrp1iq3Q/QGX3/mwZ83vNwUxC45eHxwf4fY2eR/8oWMG5J2xUdFRKCAldweUNp8s5NCmIA4Zwhyt
hO5U1p5/lCkAOuBWnfnYB31xl3hRU+9yabqsddPhC7++Ud+3jk0Wys7L+hm3KlsBNyV7kLVTsyJX
OppEsW3nqVCv5bWSR601eh8MWtCT8cFQJs48STAQpmaifTNC3T0TTxRcaOUEGr0fwwvannuI57wh
WtrWNzjQxs9BJ+Od9Pzxc6zhhzb9HJWdFzcjK5Sd8ZTq9N+tUqvo78LUV29hPtQpke+NnelBss65
ALymADVOEy9xBDxZDuR4IK6Ldaz1xRreOTkbbSSIs8IkEEIwGKr4CyCa/EqrnBFuYH64l9Exqi+j
1lt0QvkfJamSV8vHVLwSyD35uo1jtAxBYzNdf4ZJPWGWDfspThp8toFmP2dtmBabCUnySwPy8+vQ
eNZDGUVljsIPDSZqp/yWMDu5U3+M3R8xOd29OQx0iAMVBk3i17K99lll2vtpnPiP6X0+XzR7iF71
xNLvZGMAIs10E4E9SapjGjnWTTU0tKFoUIi5QCSBc88yv7M2wVT68daD+gs7cq7uYs9vr3ab4OuG
7jOvcY5qx8R1KP7zKb7feACCN+3kyx+uqKC695ib9swdkiGzds1sTVqsmWihA5xZcZ2ot3zC5FW3
EvNRj6CjrRLpldkmpW1beQ8bBPTOoRXV8QoA6CYTCUGy6C7sC2tVFpaCuE7QvGb2EaFns51I4NAl
4xTsgtoB5281InxlT1QAbcqDBLaTN0JEjDrq+7gsW+SV0ulrpWujtxpGXwA09WhSpeu4yJ/wnrVg
Ud22hFNtZVnzaMSC7FdZyRd4jdEmoPeJDvY82DntPBCe0ywGs6DrbisJqOHGz2pL27IfMy46Kdlk
LVs4WLtG12vBaMtG6FDn5vRSgSKVqwJO043gfsgGaK74TZrgm8Q5sLykRxGbYrGxg9D+oau6m1YV
3/Ct9hBSl06cgeKdLVuAbiBkS4V6OyEhbEZOsoJj3rXQ98IQVAYxCqaiKQXn6aGmd4ehsJxwx6WD
RKJuoyPuTEpKm7XM2v6D4HJIGjJLE2MfcYkD+AAJ1/3neDgVNPmvpp62if/T2INhU7Hg1Vf/HHwY
VFg2wxMQ6Domow4CzS9F27MFU4+HQwkaDNPEH1UdSo0hNDMZ/dpQ/1J1DMQgGnGUPkTDhcrd/J09
tGDu+qMbCVnHVAIReUEFqzH9P+2hS3cMLYeFB3UT9DdW6m3gzC4vBkU0KpeXRa/eG+iYTOdyeZ3Y
s6dt+uUlwwo2eWeE1FR/fGTIjbW8kmr1dnK6AQyUemMFy8srXV5kdRmOwV5n03hXUhJ3SzsvLz3y
OhJeCkjYQcFhfYWJZYK3VrC/4tvYnDssFhBl7QUu2030qq8c+mf81dxYxW2gSLRmHrrnhHs5VGnW
kR03hCde5d6Dqyi2oYWz30skCcCx5rlTtNu4hHtrdjwyDijgL6GAihstgNxWsXLdvGUJlAfEM2rF
0qW61gVVogi7aVhRal8zM2yb1tSsdbfgeFsO9IuuGL38VMPzqLi9pjtNsJ+4h6ZaZt5CojK+Oor0
S/8N1o+5ng50TrgfXTtqb0kVyO8JStw3vaYrh/iy4b+1hDDueVMA2MzL+euwQIa73gc4XCj2cEv6
4iDqIbqMzVy9Bq6CFButngEsVrd1sBdc3BN1h5/Vbd4nZfxSLlf8ABqAEgq4+dNDmm/aRQ6ITRMp
GIkgI26LWKB0A9FMruS9PPif+zyf+SIlNOCXcpKVu+gPVpX0ybZQskSG+nIpPK3ZcC4jWBhKu0gW
GaNdJA2SN+ZronQOoRQPQ2kfg1JBctMeNvkijcxA8j9mpZd4smOdF+ipR6qL6CZvC0oFAeYw7n1B
S0V0MZT+ks9h9e7OifFup03RdrhMC9qJ6w4I1joftOEwRgFa1DTIgJgAAdtoYxTTHG8EQIvb2fE1
JX60ukXyKc+mbdXFQbCZx1YPjtmEQaFfVaVB1zsdR2nw6k7QN744lBYYmB6yfNw6czv28OlMssLR
DPr+W+xEMWZhoy8/XDnER5NlMwW5InyfMidOiQCQonZSYz47QGU6bFx1naxHrt3mxm46vAr6EAzw
DJ3wrW6F8+bqVRx/DXqcZWxWJrs6+N7ENXuWVnhhAhN3YcfwcWZF2mIbTOwb0XvBRgzZOK80mhMF
bmanuy/awT1qXLQpbYu69ZirdsU0mj8moZfffU3337u8LSW2tq7/BsUiesVal/tMDJ5/F5ZdcpGM
/GwEZEMoXrPiG9TKudnSG7XBNxiiUuhRdnQdLtPrMTPgfY9m48AspC+BObdov2PZSMNdPMTWlY7P
9iWshENnQJkJ8CCTH594K+lM+lyComXETJNwhoGqJk+DNP3eUtNoaXd9fvCXIbVW8yrDnbuKlyG2
U/NspCbb///X+V8vp79kQpx/vL3993iC+I2EcD7hWlJNAjhLbUJyGGZ/vtcE7iqCAaqkhNOVgCib
gl8XevHJZD+L5cn28Jrigv3jtgIeDzdwQ9gWPVHW33LZwmL+83uNnYHFtwV+Ryft6qn33h8QZ1CD
bRsYyiZgYoPri7WgXMeVlr/3zWA/ou9BOs6MPjx1fuVs9dqLMTP1NAmsnFiOtxjexSltm/5LNugj
fxNdNLwzRtMIL04AzWEfYl6w1tE85x8uC9qY20/CYzZi+4k3LZfl+7n3xA/cj+Fp1LW4hdfbOpcq
oxYFa6+4Yv+Va10O3V0d2eIplHN71Y3Rv2nz8YvklceoR3BCdXu0pB8plKv8Mntvkanfg6h3dx3p
gn0oWgg5JruKk1EnuHVF7Gj0qc2i/SqBYkGsBRmEdF6UOZmjjD/TYBfcej3G9nU3Wf4xm4HxEOPv
gXbpUww6a2Lap5DUdk4B+aejoUdNuLcysJOrkQKVK7Rx4u5RRVXjSlQa4IpCn+rPHdZm70rxevRK
HDy7FVVhPtX5bAJsiStQAXMR4lRrnJvcDp0bX7cCMA4h8sMMVGurFkAXC3301UotxMyAv4dhmAtU
T2O28WjmaqUSAUlmmytbEkeO0cpLPI0mgSgo+jdxV003ps+lg8tQfOi1GGWS76f5FrgNVe1ASUoQ
PVJGT2btRfOa2y9HsB5B3t8YeS72k26wTrasNE+V1Yz7Ul2y0YBzC32W4AIYW3ZLRXvTZeV8E5eu
9eC6WfQ86XpTrBtezxLIQzW9MhFB1pMtPtdiMsBSj6Q9yMZWVuihoY8hLOK83FZl3H0F2TAWe30M
bfk5yvyCvodwtrL16A/tmjrLOdmYHcnnTR9ZksubcOKr7wFcG3gnNyufEKiziSsay9aNW7I/Ebnx
BK6yAaNZBNkj6r+n1iaAIXw352JPdB/7lj2WZ1WUvrOKjj4Xt84alZMgoUF937xmT+R/iLnpLibu
rtt6HjEP9YbJRR+6nd1sjWxy7iYW5gU3VhbQ0LLFwSqndJ3mArakVZjfQkzQ2wpy0MtYOFR4adl0
JGNmny23DbCXD1Dg7Mq4jZNahxmFMPxBeBvMR0MFIohE/VEkRdJsGlZ8qy4cAZxyvFyZtKc3t8bN
l5RT8F5VXv7KtiI4Fxh9vjplfyMGmR/GYOxtuhbT4oekX+jWQlFmYqSpXlsNtt48lD4hujWrKjmd
ZN0kz0R+rH2HOh7iWO/s01z0znFyLKM60tsWmJtZ1FBbIMFuRvAO4dYBl44fGwJ1vAtT4ior3F/I
glVjdN/pqx/fHSvFKUV0er618AB8t2vHOBmlZX32Ywo3VoECUxvDZAOc6WPVouSxe3Gb2dkSX00a
KhijsV7XTirQuyPJz68DLMLy1MBsEMQMRrC+4o0+Ry24scJHRtRHK7olyOLcFCnuOUi2qAG7cWgR
mUK/vA3nQD5nhps+czP0mtXItfEZ/TbaT9Pk7ks79jDbi/wi8HYdILXr5s3kQM1YiTQU9krXJCiz
wQqwqAJgk4eh0p2V2Yjpks0us7mgVOQHO0/nIegjo9qwuUucNYEiUby6mGC+OgUT9LGOkurR1wdz
VSm609PAqo9HRYZ6tFKVjtkqc2UXfitFNs+XMUFtWnuDFhaHLnQxQFqgsTZwROb4PamNJiYLHQrr
ewd0NT2Fsp/kHSYOj3rKzuGwzJuq1U9BOfXgXqZxdg8pxEHS+fos+dQmc8F1IMPmcSYLC628oTc8
3oeVi50E3rE9Pnm4bzzw7PaAAS3qI/JIZtDa9/g80xO8keo0BhrnEdvLhGo7PbLyXWPkXwM9LvRt
YUldA0gyTkC6ShJ8W8mw1/JYaob9DuY9eZPtSMQW9uC16pMOcpjRAQ0h7m+cSP2qtIfNRR2HolHr
lzTospxoGzQR4sCh51NfNRt3CXJFvpJmRjC7ZFjDd5QC+SXy4axRMYgk0w9nJLdGk/kWv1H8OfRo
js13p/fNFsTX2NwXaWl5h7oIYNfn1Yz5NEtL40QAV8zYZdkhM5fW4rks7RxjKi80QAiljTmH9Vrx
D9id/Bq2uFD/hY5QhH8xa/Glv2xxav+hQptY05mQVBbz57BFJZxpsDfxmKvIYi6Li38NW94nPG9w
EJm1LKhYuNd/D1tgEEluknZSSxTX4B/7eyKCsr39jIwqdAn5IowmSBhQabDMwyZR25U/DlvBjH+N
qMrktZ39ZegGc5+UwN6z0NHabeEmQU9HwTRfUr+thhV3lulsalSC6exNT2nvjkfmSahGpCqAF4lk
uGVNHR4zFWkxe6N4qzhq9iVcZlyzKhSjcUh2q0rqRbnTeY3EMJyS+s6enAIoDskao9QaDK2alVys
gjLOlQ2Lf9r0IB7AsDoNbbhGKKq3IlNIEoSWx3omuYnnrtg3gztAaU216lhXZv+1SeoII3M9eGdv
aKFH9FlBQNtKcDBsm9gwHmKvtrstUIFI8vYcUntN36f1hYu7rnb6nrxqzdyHnwv8gdbVzWMbwT6S
drDRhmoYd6Tuw2IvHDM96dK32xc/sqZy45llmLzq1kREMwDjodE8MMIi3efVlKOZx0Rtd6FQyMZM
j980yC/Q9mac+1g9JBFSg4npu6LM34Lj1p21nUUTJD2caNAaujry0DiS/irK2cLna4/mCUO0s88i
vb/DQGiuYws3dxYQlwLfP/V3UhTxOeEYB4E0j1cNoxuBDdc+DESzjh7E6e9WRfyc9Gd/b8wihj5V
5zou5z7aSk8/RFbX7SWZWm1HECmoD25qcJARhjfWWiCnB+YPjzkGMD+xGcMpLqlTaOJZelrwwtkY
1jtuxoFLRRadG+TQ+H+E64Te4b0bZYG37pwRk4FZiWZND8GcnaNh0t4wl7Qvc5InvG/LVF4mzP6r
MTaz+oQPr5yhLHKnXOFs9uqzNhf6XYVRK7rXEW/OgUaSay0dGWYXLAtAfmXapordMMGYNIUYWbkE
/pZgLRmuPCyNeyOuDOoMtBTRJpwy94PnMf2sxo0zMQ+bj27eaPmWS2++S7AGkR4gscb+SXg0KVha
771G9Im+JOySwhW78+SxbiwNE7/u3seGkBeoH6S6VBiZ0H+/N8hAl5c6neRDKyq817IV8UcjZP+9
VdHnZi6QEtjGsWNsjPmBT7A4+wM0KX3IoX4YWoSDVdRswTuLoF9gFbuqol80siqdA98GjGsJcRs3
JaUsfAq3+pClN5mlj4xCRvxjzAgGq7UP/5WkCz7rhfjWV0JrdoMJkmZjLtAXXfFfuBEMb2BjgDFP
CyDGWGAxtuLGAPKtxrVs2uZU6y1FLagn6hpSdmdQnYBnWsWgaa3W5PeryDTslLfa0I37fsHW4Hj1
95YYwytSAlibbEHcDIp2k8gkk7ddryA4qeLhBD/ROG1rPRNZifx94IvghPJLiMzvtRq0jJG0nxPF
2QkX4o5i78x648x00Sskj6foPIXi9LiUWPwDLJEIydB1UbL/4p03vP6nkunfX/nzled8QiwHAK2C
B2Q6FpDBz1ee+YkXDsK5B+MAERzD+L/1BR1RwmO7byieDSisf7shPQwDNCzBUfDQzPkX/y38FaaA
//3Kwy3A94UBwcOPSa3Tn+kHY4nDd4zyTdwV7TevrlrVBzw80i4RPLHNSU623dbPeMps1D12fwSi
EvyEKzIM5ZOr1+nnYjadj2A5IczltCjUwTECTsWOq44ToQ6WaDljaHv2+x05TKfaEFOO1DnUs3Wk
FnQ6l8tJFahDC3mC82tYzjJ3OdeG5Ywb1XHnq4Mv1wVnoAnv5MXvIkTIGT323PaJBaulrHwgR7Yt
gv1gxqm2FmZAlUvkzfNZj20j3EZpPn6M1lg8iEnEyNxKGmaxn4sD7VLpU8phAobSbdoXl4TsjaFl
lA8F4EruAR+Bdhj0KTR2hiUwvCOucmNpDX189R2Bj0HG+Aw7JHH82U4gzr3tVDoJLc3mIuDUmX3M
hDSb65z3VFl5JcN8N5YWmEk373cyBzi4r7C2zuvBKoG0ULTiP3deZ5drneP1IXLN+OrS/PHW5vNY
3ISjIEyLo69/J+RLMB8DmAiPUIjEfCpmWYwPwta6+LNGGCDnsEtBObfRlGHV9nxkRje7Jk3nPOew
ITkFTZumUy57ac2vhbvm8AYbqdRWGnmUG6TcCuhmNA+7JEzLhzlK2v3stAn377pIFfEcUowWd58l
9apXt2t0sUJ/Ge/Nvkl2ht6IFy8t9GMDc+GmqYZkJwC4U/2oJzsfSIWxDXoZX2PElGfLK+uzXurV
W0Np5tXJwGgOIz9OnP/RcIyGPlShGDs5zl0txl3PmhjeZx7nTDeF6MtdC2BwN1Uye6qtqRs25VxF
d0MJwGZb+BrmFm9KB2/XxFnFnhYle+3yU4KLhvY6AkFwma10Pe52earHHxMctoNXCdqoJPfBR7Po
tenauh3+GMNLBePFnKTVXq/cwNlQhOdm2yEW8WPfz5pGqiEnSssfRsnFKVWmSbIe3wYuL7oyxmWD
ejNqD43pjTvMOzFjTVZ+bzM9O8AO6Y51UMgbekJn6BueviXWZO1cnx0ACIp4g/U62A2J13/pK7Q/
4hnW3s0A3BBspowJm9+L27fBLsG0cRwB3lDvVHEjEkCnLwgTfOiGIH8ZKqOAhxSJpznT/R8T5V87
k7zfHrunvFaTGWwaJ2/eeZnrp7Keoo/c8eZNkGv2zsBGeRGD9VwxQjubILUDVtM2tTK2cJznoQ4h
xpY90uMJYYCSJG2U1o/SreXZLtri3oPFL1aJVlCuYo9Z3l1m2c3zd9tzZPDYjHwgd7KMhb+aAMMW
W1drKgzEWH+9beDZ/LXwSxqrqtIp65XZc+pewoDa5DDKZ/dWC6ZZHIa6K14dypmJ2dVx+t51pTyX
hS7P9KyFxjkVYyK3fTb48NHAmIj1oPTeY1uBW4XUT03RsJ6SRBNnINh2+yBpUTvhrx5XMc0v8alw
0RX3GAW6fBMGfrID8mYe804HZJrk2rONinGxsmh4YpB17TXrEHKFdqGx/w7xpV9LE/721ubRzTZm
bFnXqDVN7KLSGM44dvHEluNQDnSwcjXnyuxO8SZVhBMoZzasK2yb7w1wrmDzz9kW/CXM6OY1LJr/
Hm74DTOyPgmSU7zNOciJYxFX+HWD5XVONtsl3GDzYlYNib9f5zShq05zvkoXpmtYqqfkX2tw55Pg
z8g78MeMAIZj/Z0brMNV+H9fYElIcLH21B5esC740wW21UqsXawVK1svw7XD3fIC/UWLV63AWLtF
1/COYBpuBP5vAHjUd99irKmmLTdv/wDDXL9KnyPG5mTZ9YStoXMFftgBQ/CjBSTPPXAeVY0Gbq1y
wszj0wDk2ZGZPQx6XSUPIkCtftJzVUGVJAPHMBiHC+nrMVqNmCTHbZbDlFvD6c9PVKc13IZqgj5+
WHMPM5zhs995MJfymKDvlqUIUM20okWNPtueUywdQZd1TVZA+5sj9WyCq59IFwnnFjjuiNVFL77T
96G5a2w0U7+RhZ4At4+d9MOvq3NXJpO4mbqgmR4b1sD5bRVim9xOeBpniPkFQZCsrjLnGjWlI66s
P8ZurWuOJvclTdD1cwrWMsPQHTrD9Z/zfDG+/vdh+fraMC3/VX6IL//lNMF5ovwk2E1QYXjcfj1i
DgFJPtmYZXmI6NG1eY7+JRLRIg4HAdymZzI062qL968nzKVfwzEIXBKctNGYePj+htHEsP/PI0Z0
w3J1AUFH7QX/bDSJzbhl6WZtuzhu1lPgibfOSPKnwY7ru7Jr/BsEYeY507NwYPYaoyC46WYcoVRO
sckjmOTjXqvYV0lJxG5HKVfEPA1bIZhR+yFDHglsz+UqTDNXP1GsFz53tZMf3RLGxsFrMof9x4A3
5Nj7reuf88J0q3XazpSQ5a5L/64QCLBNV2ktzddp9NiFs/dtJr6Dcd0q61Ovl8l4B9oJzymNjIoO
OMUN5RN+rnlUnbk4H6DBu80RulX80BYyMAAAuh3QgDTrXnixjTolCVa4rWsrPERdEtzm+H5fPdOJ
aQGjC49Ida3vaEUNf9i9oOIhnbx027e9fPHLUbzUdUCldeS1V/71doppMwX+CNRBdBudBcBtplNK
hlNy2LaiN66G3TXXwYS9KbzC3PehWoBVwOCZsgPsnaAdL4XfFayVYprXVplW8k90Ro1u0aha1Cgd
rlZbwsifZmBsZzcirI4MZURX6pLrN3dqRLaJQBAOiMtshIqAJdvGAmN5Myamu3VGAxuh6ZNKpDqV
bP8+kuhgKy2fvG+hXtSPqE1Vto8XG5q3WNLqxZ7WEPP8IC0L2raZfOiJQdwM4WZcjG1c0NLuUE5d
lezQR0TOGke54Qx+/sUm4qXjb4j+VPuwU945axbYO5u2o6MvYH+TYdzWJv3eqTszPrv4WvqWM7ua
201l9PZbOYZh/KTReQuKk1O5Y0wPEr9bkUDursHARQujSJbg+l40NfIR6GuGktp0JbqlNhUga4Rz
tLjaTdDlIiXRWTOif8pVANFx0fCk29XGvsM9wYdZeoyQ6wZ+aPIaSYPSuXlRA0czAb4Z0IPa72Be
+vd8ohPv2pudNty5LeDGc9BWvfFZ612/2ZWGnzz/cw7Yv1QjrnH4o/7vAwxf+0uCVyEEC20DIc2D
tvp7gBGf4IGoc1e1XLiCdOTv05UAA0scggIoBWpc8f7tdyDTyTFIOJMBmL9S5+HfOF4tnW/sjxOM
4GBF+oPfZbr8D5kI/vwPEnw/YWXTOFhGW0dobUf9MgZdIte2EmJDr4M+vYizYHCPggv1IZyRbsM6
GK9564vHRAm7YeP3dxmUxWKbKOHXUhIwZTf9Xa9kYYebx8lW48Qq1azJmy5+78jkYyJBfKdVVYzt
rKrzzmNDvBhd55by1FOp/K/1YoVtlCsWdhgGWc8oG8H546dgLRIXE60XO8YlWKy19WKzTU27wxKt
oGW28uFmWRfsaNcLto4NYx+5Qr4wtml4/5uyu4undHrHPTgSHfe16Lao3ezJWGy/FkwTyHyLHVhn
s/G1kqCvhsUurC/WYSppydEthuLBSaNXM7WifhMvjmMLBzTdF+1d26duvdE4LdlLxvFdr4zLbmDS
XhoRmzpQrmg9ZIvHWS5+Z49u2ZKgOo4EL+GOobi10RHmFGbpdjFOmwY1HnC/8FNreJ8QRZTLml+y
c6PmM/Z9oRYc+8WVTdGfd29lMJFXodnbe21xcRN7bymAHCbnfp4QlVf14vm2Bc6vqUswzlVu6P3o
yY+8JU0cvdK4NF2qwQI0jiRl2PsxdNBUuPRhTe51at9qpxiitb+Y0cNSNqTylU99VJZ1vfTE11nZ
2OG+4WgHH+I8O4WhbBrK8l5Lu/B3vOVxqLtEroD4LDb51Jyi15xv9kAVZ/1FU576MBoRXaihjYs1
bFAtO3ZjsBYkuYZ9ktCttDJZbVssFvFZZJM23TgSMQ2cmJwEDOZxBM47mCVdIdSs3Vt5l6XgqZ0M
3ueoZ8WhRZSmBXrxejjKlbfVFiNI0mjNt2Gxh7hDWXQbfGn4R6BrmntsFPJCebpOB5Xv03rRGdSl
rIbFg9IYDLcgl7Cm5L3b7izM7a+aMq7oysKSdY0zYHvD2FIPlUPzCWYXufheAmWBEVFmfrGULSaw
7Ow2Mfl1dENXe9dhyGhlZl4XfFyYkFdUO+CxwbWjsSZbDDhBJildWWw50WLR0XDdkFhtR1Gu3MXP
M7XVBB2Yn8+ejWGDF175gMzFEoShFHuQoZxC4cRndAW+HIZ5RgyWZHP+Xit3UapX8zuyBhnH2PeQ
wooCOTJS3iQsGAIrfMqDppxLcW2bV9zQ0SFUvibfzrA4kV0hskgQoalX6dyIeOMurihncUiFyizF
fQDfFD1+QbAfY20OL+7ircoXnxV4zf6LDw315HDpujUXR1bjJrizWmXUysDKRDtOC/sxLof8HZ8D
xi6PDrL6QDMh6+eQIPCwYf+C3dBQG+p+WVYPy+I6VzvsJJciAQGtVtuFZKV68Gavua/SEf4+PhGo
WIXVTjxf2DSTWwGdzccZqWpyOXtY7S2Ldbks2RO1b8eS6vp4LEAjsStTK3l81KV+8ZZVfbes7U2K
bE79ssz3yYwSjQSf++4i6fRg6YcQEwC7HUffhrjQgPosToEgC3NcAxPHIBODi1emsLRdCb7hMzvO
+LOZkvpZpVn/oyinGGZ/UTSPJhSbe9OrMhaEHoLnumJhGp748MtuPelYTNbUmlXtLdlpPT2nJIJg
7MT2wQBq89UbA/ebj4HS39WSHrB1qv5La6Mrb1kWWXKd6XZ4mBbRkL1gcgwXKZGu2uHYLwKjw0C9
aZXq6OHqeePHV58jpUlmoouvFM0jVPKTTnazUcstFqlkJw29v/H6QT9ioxIvhtI7zXkY751FBPWs
NL5qjtmimaORguNDLs1zZM9Jaag9mfSHTumqDOVIrG6t2zcENxBedZLob/aYzudG6bJGQEVRprRa
LfWc51Tpt4NSciFuVHQ6LSqvuSi++aL+ApBFCTYWVZjzh8NK6xCLtUHpxrjB0JAdJSeH/JyvPOfl
Q7uozZESniGEYBSesO/Oa6mZQ7o3+q7fYUdBsXaVeD0tOna6aNrpom87i9bdLbq3ryTwjiakkUQZ
wjhQaDTyRsnlCAwo51znUNH7RVH3F3XdV0K7vmjuziK/KyFeLpp8rOR5D0aXOGgZon2CWTtFJ0fK
byMxfhCoR98HtDKfzUX1H8qADQDgJagq/CXLVmdZvFrhZGRnuWxlK7WgxWLOrtZd9raBWuHKZZuL
p5khZNnxJsu+N1Sr34Qd8P//0ZTkBrMiKtN/v/nfTv8BmPT7634OpdYnm2JgBeJ2GQAZ+n5f+c1P
DrlZrvwMhRTCGAYX+99XfqKrAvggy7CfwZM/3PkJwKpWYKwmsLkVBfdvDKXspv/PUAqRSflBEPZQ
Gf5swi3Af9k1BVRW5cvLTACTzJ5Jjo1YYurc97UbnNwJIXwtK7RyR2/jD79Ks43GuUuXlMnNjn0Z
vWPo80081LDGXezggRHcuB0XZRqrwnbejIMbH4mnQAMEtCpJ9429OMye1zzaZN4//J4Ua06kEcW+
Tr9aUmQHkBdoBbFvJSejJewo+9C+E9g+s7Vll/O+9IJ85+uhu02mFGuG1rkszhnxOeFr6h1av7Bu
culat3gGmDhbsFRPdVsRJdG87k02w71s6jCgxcVyoLFNVLp5U5J91getX5ycjbHK2ed9hJVesKox
p6t0ZeKqzvNg3iYJkLxtEviMHpYzteUmnj1nTaK3qFc+SmC5LivgAavSN4sXQIDWwUaMoBVmDPWb
PI2sew6J4Evv+DNONa8D57Co68mitDdKdE+V/D4uSvy8qPL+otB3P+X6cdHuC5MTYz1XZaAiApOU
2yrrY4NzyZIwSlgAFMBN3ytnYoYb1YIg1NSuIOtBA38VyyKhXpYK1rJgYIfPsqEcK9fbcgiXyYob
Tcl2NG5Mf2U3ia4DQ4zFMH83aIzpLprsS1gzy37DUasOYkTyrGlpDp0vKnz/ZJVGEn61C2Gmhymj
GMGZutbZ2EAqADkkIwzW0ZrOFUXFL4WL22aovGLj5Hr6YyqH/pgMuXEWOGHXdNrcC48hHDpceZpn
Tz67PHVHI+GVv7KRCl46SJn2rgoHh3cBQ/82jXpzSyInRD7og3HL0xh+N1IZb7hCGaehswssw5Bg
99YQwqBrIl5hU4RFaZ76GGhNVx7H2DduR2EXP3q79SKSna15YX/jE+0ohjuD/Q31qXwjfVe7624a
o8Mg2347ha3YEvBLVim3kGOJnQ9LzOh6L7no74dYuxhgoZPVXLpsXmfKLgBx0Pw+YWwd24MzIMlM
VlLcTtFQb3KnPCRDqt2mKeuXQXtlWGdFR+kzvn3jC0SQ+0JrinydOeZTJCwXw4heb3VyL4+yByYp
muKDLFnIFlOwupxkROtq3I+7yZlfPN3jepE3361wNN+0tj0s35WWW/GKhBzs42Syd4M/YimX5Rf1
D0TtcJ9oxksTd7jSRUqBAGfcLoARdgxqK9m7bKhO/0PeeS3HjaRt+lYm5hxcePPHzkRMFcrQW9kT
BC2897j6fRIkJVItqaWp3ljGdp3MqMkqsIDM/Nxrei07wg+luiit2t/iWWWuFXuUXbUszzsa3RVu
gC3By9KOCwWnoiSJT4w8PknUMljnYXeXaZBfPdzp9tGeOGlDBDsWBiKFOgjppTH1DJ/LEbSMPSQJ
LaiwO7RxJDpSSlBnwIzta6NKlU8ZGAAM6xRQlKk6LAdAzG0iY1xiNuq9WU7TqqcCv2gKGdB+FHin
OWDnLdSqS8WovS2UF9vlHP9Qx1N0rpiD5gaj/F71umNDHraW+AAfjw+KLJr8OUY6VOe+9r7KCotV
jnc3/2ii7GRQ++gga6t+2UENWKWqbG61oEQuWgIxlykY3yHo+ElqHEFWoOQLLO8O+RgWTpucNKLF
pUtechhOyvgO3QMs8UDUu3rWk8WY8nmCBB7mA7K/jhTrbvTgu2thqF2lZStdpLWTgFWvkdDRrE9Z
7dntBgIfj8/QfCTHvHLbJdC5UZn7bJaO5ibAIRC0jC1yVf8k6vQz/PSkDZNpFRT8WKKDLnhOWALj
MDPgK15hWQBV/DOcJNxoQBBVUzDoTNjxeAhro3ZB5tkbT5fORyXpt23aD5Dv+uBKS9V2ocb6dJB5
NS1TTkiFciKzwF8Z+Lk4dYdlI48+0Sssb/8WOYplqYT0n+Qo6OP8sXdGkvL4xuckBY1lA5cSOmOG
DWSH1tQzksfEPARkp25zKsLT+9o5Q8TfwC6JYQagSWYQghz7ZfTHlEMMJqAJ0VPT5d9iwCriIi87
Z8wQZQVpIuhINgIlhvnN7I8F0gVqBRUHXMJFWFrZuJDyNnBzAvk7K3L068HwbpkV44yT5CHj5NGu
9OPaRqdhMfiSoi4JnpiONorxwAFQ3E+Tg+CQEQ4eTQophh9heKOzbSN1fxRk62WGccp4JKFq4RwW
JoSAtax1Hl0MXdY/DUEV966D/CvGb4nZ4hlGKhAuqzHyvGVMYodsr24DrETv10GrkTMWV8meKk31
bIYSOTI+FUKoFuB8bmR9S49pfEizpr2sKU9QnZdi+dIJGtNZtbS5DxGXx241bupUWuMIVBYHVAEg
yFHBhKzUa72MJkIoaH1RYerVUYh61Lb19EpxjUIbL4MI3R9A61VwrNeWib2dBc3Jxe6ipUryy0Cw
QsfTMnFqty3HEfqmoZbRuT+UXcOck+g9hZp/rvm98TlvKo1US2+nM9CKFOrNqCA5qMd+dMfgsvlo
xgGjlEZXbmpZ7YilBWcIxhxWh6Gs09DBmWjXLgLHouFvDgCM6xyPl83Q69isZ0kWv4OXWasr+JHK
59aunHgdjRJKUzBoLxghDZeql9XvPacOmi1U2GBaOHFUVEvLpqG1NENahRi4ZyLitZB9F+iqlCXP
OKf4xF7cQ+BJYKto0sn0OIzWuoSsiqOdHrfqdAhQYRpXmZGHw2KSx4yWgwJ6Ve8TEqOREQoi1z3k
oK0DDcDCTTuadNSLoVQvwMoGgE2GCrWpPLFL9ZCpM3wbxGQkYq3fmScpcOmrKFd6yS1tO1YW5ZAp
xgoMNHlFzMeiCIWyHAsJ2gXeJa1zCoUma5e+IBO5fQRcdiHXTn+LZ2miQK8O8nvZUOjFNaYeoKct
ZsWpmBqT2lijmwc2w2TWDoPlIS79lgYctoZAQvHUFQRBuCxWZ7Yro2hZkJOVDpdBqwwnJDWMrxGq
qT+ZQ5cdJPN4WxgYMeqex97wMYxj/BDV5TSPxdV5RN7N43JrHp3z8Bij982Qs2nTkROeLIlRO3kh
Y/cJKGeLBowYx+tiMh+JGX1p5vKJr9XOVsdUbERnmWm+Og/2HUb8uZj1oy7B2J8eNlvLEGiAwpiB
AaFmVORkslO6cN+s+9Kh/6UYSXEwgjlsV///R41n2sPPa9vsJxaoQpvpMXIgDSXDb2e0AqoTHV+N
IPAYOYCT2JSnsBcUIKAOv/OlvGVubchMtHFXAVViA9D8EjmMPUYxAEaIHcAyaJf8VnnLwOd13EA2
11aZR6NPxaErfxM3pFonjUFcp22a5KDSomGriSURQLdAR5E/wsDGr4NU/SLCnjF78PPsHzSqz/IQ
/8J//ZNx07cXRqSK0p0qXkU7gpE6P38x6sng1lYgwJeKBVpjbaMI8wDPCE5gEqF+cByE04Thp+dX
56NZAsDP/LJSVg3V3jmGMFQ3lW9eVpKsfxhVGZeMMsvG92C0Q3sZ93J0zQCiUVF4U4KejdRld7FU
9pMbRl3qLdCEx5VQsukttyanj1uNPTrrxD6Ark3YFeAe3xtxJ6vlIirHAN0ap5KOGuR/6oUfYKnH
8CbPPkhSoDzYPQIvLtKMH3XLtzYaE6x84Y86XpRKJ0/IBPpUw25ASgc+kvlzs4A8ZpZwwOQayUpd
zJFt0IeI8JZZI0iuSOf23ID3aH0OFyp98sENppZWAdpD0rTMqikfsYLHeBx76opJVea35H2j8ol3
dDStxWE7jfZRDuBxWwRIvBRw0A7LLtTzZdwp4YexVcYzvS2sjxSwww16OQhEaGpkqWuz86twY7Sq
srHAPqJ1VOIXKwVDCS0UquF+DgUNR0q70M8mzMARizSg+y5gWCZgVKFmXdbIWzYuEzmraLnfdTlI
6B2hY0MLo40lyjdmOGDxLPxJTkAeiBR5VCR53aZU6GEaZ6vU0cJpgf5he9lrESJ6iIr6BXMVO7oK
ic/NivMbKi22EIRXjmGN+nGqjjycvcWA2wwRkvKCOFqGspFhfhYUlrZSg8brNlrj6DchTjf7kqV0
3hLDRlkXEFpLWchXdm6VDrh8+sSxX5OolHPSYpdMlZZh0zXxttA821sj4ogBg6Wk+icbzhOU/jkN
8uaUqJIRbDgaS4lUSR21faoQDus5kUqy1oGCOydYwO6L+5akC0Iz6ZejxKRizZyWlchtHAe1QrIW
z4lbTwpnilyut0f7HWa2PsgnPDcRHMvCi0Tvgv16qBPoAQPbnQFi2GEvgH5gxN8BWBJ07tAm+3+b
813IA/+kLqi/Vxc8hQbx1sfzHSNrRucItwttP4HwIzV/Pt+pCzjYSf8B+c8n9XP7EiA/jikEBeD/
FgMRATT6UhlwqtIJZSBscfozjv+t9qX6zUFLYkFGZzLXp0amUSJqkJcHLdPAxNMQta3JIs8bL8a2
T4/YzlbrbZt48lZ+UmO621rWIoCgSnrhq0epA1TEiyP0tgb1BEI9RgUwwpdla9Tn2mAhZNegu+GY
S3D76+JOkciKSnNQ2Y+gSq7R1cFTNvBzCvhBvdRT+TP6dfqyAUsE8adEHBAiMK4qgAOZstPsUhRX
7/FYgOdvu0HJoHuSejzeIcefZGSJy1YwxKa8Dhb0cKYLCZfqMw6Z4hQM9bpUpPsU/wTsuABYgTYs
3nsj4FgvQmpwiWiZv5Qt/8qujZU6BdO+lwFaqiJE2fBcFk5aAKOnSXFWWR6sop5OrRCKXuaTVG/V
RAkPKmG1N5QthrCz/14srPiQRtXehbM/XzF79TkVtn2tMPBTLKz8emHqVwp7P90s0hR8dENQcJz8
M4o40oFpBu0CX0fbzSuj/qQNWoqeAtaBCapEqBhBFp/wFWTcXW4mTTvonGpcOmGG+aBXyxstn0AJ
J3ltuD6Cx8dt0VdH8Vgp8aLLSn1lwOlbVKHRfZJLJdyHCisfTEDj91Vr+kxQA0fseVV/SFkAaEfB
vTixkvIq7PXjIkjPvb6XVpmfx5smilGp0Tqugw5CKZ7wPYxCx3XyQUYzRlU+tCmEL7MAKCV7k3rk
eVO3tSqldgMY6odDriZHpj522wLl1FWISOUHWc8M2oi2vKFTdWWFPYY4tX3lW3269eP6glYk4gWJ
XdFShOg8ppPvNkMPRmGGVDOuOakdQAetL1WfdR9Fo7LCakXpPw+Vr2ymrA2PC7P33lt0vc4T0U/W
dElx6yKjZ1ig+DqJdjM70RZ2udZ6agGeTPZQ0UpBzRhHNXpuUnTdDhlUY08q7qgBaVuPoGSWSsFi
7BGoO5R60/sYDSWCF/LwYJV1eRCjrrMc0cvblwApnIFWM0DXDvUSLxTVX7BJmxUyQPLlbDEZ29V4
ghFvfoiyeHOqY8zr6paMZQ6NUOgNKZWbJTfl0iiIwknA4NE2S+kA84PkEkbrcGVWXuXmokNfBolx
b2JidhHRug/7YECWg4pSsgp9kQ/+JYLdH1Dy1E78fmwvcO8xmfVZtJoMRHVrMQ1gmzMYMK3eOWbC
37tNlddrVQwOQKbkm07F3hcnevzMDQlJ23D6lA/htIlMrQdSHHKw+KkEAljRz+IRXHvrMPWuTBUB
ox4JkqyrPkaYX24QkR9BOaLTPVXdhCrFdBfbLYBIPtqxvM+AK/FmFpQZMfLAbJh+QWiCL0EPxMWl
IVhKTV9fWYwkUD9iGToK+pGdMWVb2BDkfEjSrTBHyzBeVf1lPKLQnnQTIxYUMk7IF2o3BN22mOgz
LEYsNl1mDnd6b90WoyFvW1QG9jN1il0rwQPQNpUjbLcfMryUqI7B/MhxfFlLY+BmhfSAec0Jtmwd
lqeqT2e0V7plbnKiDrF0xQgCl1ezNdYWDYE7z7C9MyUuu21ey5kra/3hVHrrIlGYrUiav64Rk4LF
NKVLWeXwytL4MCwnWWVU243LnKp/G+Wj6vZITCIn0Sr0TfNUOu4F78kcK9Lz6kMrLHYo6XDZ5k2N
kxzCehkPqgzhLBhaK4nDx03DyV/+fbIBWno/zgYuGbk13xlmPucDvPm53hMoZAVQv2Uh4Ur772s+
QIPQEBYvBOM5tH+p93BAgNEHE0/YsXDkiI7lUz4g9IOZi1KcWRaubrL6W/kA+nuvCy8+COw0aqAU
lZDtTeObis+SjMIhyqzQxuppqQiFEebyR+hEDh9yoT6CDGp+nfWBdItkZ3bEtx1vekrRkxak9RKZ
H4f6JYlr+D2xclXVaJx4Qu3EDFLjQeAmoP4KNRT6PGiXCYUUDijj0M+7cb8nQ4Yy3Y2fJOL5CnUO
9XMJyQbOWneSd2qylGxWuJu2YIJG0prDCILtXWvKNS3BKfYvQrht9oGfe4HvGmXtYVif+5igIE2x
6mks6QtrGPpoSWVhH/a08nu3NgoJMEquev6yAfmVQzTzY/rxpQkcus1xjld6W2kpmQbFPnL6CR6U
ZmZwn8tULrHpdOT4Q6tYebcJm8kUrapUPvPU3hvQFcuGbClXSgiCzzOb93WutNXB6DOSdK12smlr
VnF3ZceU4MSnxLqsogz5NnzQo3dEXD1Y23WC87s3NQ6AECRX1pI6qedj6QOnjn2wPSt0ooZgnUlo
bixs/FquGs3L8YDJDfOw8lpYRL2aZoj2Rh6sO18HykP/MvTuwZ40V7rdrSXozgu7T6ILRF7U5GYM
rFRowEzyVTd62aklTXqzzIumuQoGP8PkgLpmlcf9cFbiF3yAfDMHZUZVNq4qADzwwfTpaOhr57iT
4HVMeokyMB45pznGC80qwM+VOa4UtPemE9basSdX2UPXDvVFgKyQsxxwX483nZN0OiBk2qq4E1eG
0cn30D0oxiUbea6NjiP2tCbBZcC3qpQyGk6mCf7eUZ3WSrSGkBcgS6oWUcpxFxfTiumJieMQ0vvV
calF1cR3oP+AYVg6Dgs/Jr11M4X5LdV+MtFoDoImzg8h3bcDDesJ2jRa8/noBsPg1ft5Rca7382K
LgQG1F1sGaEXSJrllTGrv2SoFnyoLaEJEyIsaTLlFVoxdmkaF7qKgIwalGjJqFUzHnelDHAdoeNt
79Sijzgr0KizGs0wK9OUs0pNlNbDdsDA+lipTGt/TCprE4Ew2/RC4qa2WgST2qBNPkojEjixEMPp
hSyOMyvkZImEWk4vhHOQ8QlODakA7BqPZY2yzqyygyI2ijvxrL6TBVXNmkKSB/lAzW1mnR5sdkBY
AYkxV+AlUfJp/DGoibuN4TpC6meoibKLIaj1S11IAaFRqN0xr5tOQ+wsVOTrEQ0qWMt31awkBKOt
QnKmC7xwbU4qfc3G03LaKHos2IF6u7RGTk2aGKUMwtBKzX2UxI2DblYxMoSgUax74cdwVjlytDbp
lp2B+BHtE3SQtFkTyUao/7QXQkl/n6BGYfnjoHYFLefmO7r3z0GNNz8GNYIQftR0KNholuzoYGqe
ilxnT1EMix3EqAtA70zYyfKqCf71T2ePgMCvK0Q1w2Bk/bWJae7BnwOgYwLyfiLz/A5GR8TUV21M
lGVortoETiKrqX9rRFrjSVQwd4Y2i+8Txo3pcAZMLrhA59m4pLVWUzsYQlAE4Jm67PWueRgKTL1k
r1E2XTmlF1UGlI2Apq/C3FSEbwOneIbf1xomhPlJ1TamD4wSnfyDUTOTbYXCfj/E5Lxmcdsatn0e
pSrVWfNxrIDv9sFGV4pDy3oXFuSQsIOPpEjDSrOQcT8ui+aCGXXngntBLl514BJXqb5J/Yiar/Oa
w6DR2ouQ8uc+iHCjXKZ+Jd80yrAOrQqhuHiilu6V9piEE2PANsgQ7e+SoEkXaLN0lyBs4uMWz/lL
MsP0ZDKN6RweiS7KR30dhDdJLMmHWVkAXQntyFiq+PkwMSmjj22RBzEzHSVHhs+Rq3vbQfSpcVpM
EOu+vDSchvkJ0gbbAPZz4IZ2U7oNHgBbQ4uTq6SdsjXZj6un1PGRnGzDplSqJbM9nHOGBk6rJpfV
sdb2tWsEY3Go+Gp+5BRKcNbZ/vBhwoHOdRJNPiBLwYYns5D0zeSmOJfE6BBKfHgJltVbgQ8ePtvi
RFJgYF9jDmPFC9MMAaEqiGq4bV0Izbma45yWgZ3fDcglrnu1VD8jFR9+ANNSc8znE6ManaarmD9G
w7tEw210obaJ6i1bCWem5QD6IVr3jQQsymyLox5Bs1URcUTDj0FlBGerTaNEyoUhJdamn7rkXYUM
Gb2MIdSQp479UyNurf7YpyR/0IIAWV9P9g+Duilu0UNPwgY8hzo65CikGmeVIgEfC0r46S74Q2Ci
cUw3cpGVsMLWeqjWzDk91K/QBeG7YVkbtG6lhpZx1RWSvt/KQydtlLbRqhXTQcTEyyptNxhaVP7K
DrRuEladWAr4GnqNq0Q3JRfDhcw+8UeZVR8BcXzo0NS7yYz0QcZPtXAJm+B19akLzztLppWc1Vl2
CxlU+TCoMCJXfVvozoElHChxR6VvPlV4U1YqWkkL5iPIGLS6dG3r1FxL0hjfc7OSVCKXVRs1b0uJ
0lXTUKtuNLm3u4MSoHC9xle3vutoDp232pje1kWD3V4opWdYBymfHQ9lsxW4fOvW15v0uK2w8bSz
9rQLLeuDFWVTsvDUASidrk/jqeZ0dgoHLgAR0tflQ9J1erG2dJjfoRWotlsUdR6eWl1U3ZXtwAC5
TKToPAoKGFdLZQqsQ7OPAestrZhICfIcYelFh1AkD6WbLBtlPKdAKmCm1vUzza6OsPTrEokRozfF
9udWMPIUpwOtjHGxkePLmcHZi2f+HjRxuHzGMBTSQVlaOljcSsgdWvitU4I3Rn7q22O7jarC269r
dJ2XeSaV2kNaxUl7lVD8olYLDsx3YSykuCrbepFk2yRhRl4zMwGTlmKss4WBm7ZrXcJuasEIMvT2
M6z7FJrtGbW2NajdJtNKB8hA6FVXYEymzC1ko/rQMIm5GBQA6Ed22tAPNBEVuoVlUNfIHPWetrbi
zEHEqOjolJilDIK/1rr1BAkPSbXkNo/8iGpWlT9qgX2escKBD9K5Bzz3sUkQPJykY1/HPdnX6d61
9HBUfCkWowKxYZXBs8HbS3Y2DgJYWA1NpXSiW6jBd1qYrvtuAFXjlAb7Nkl6OJee5l06dBdcR4qn
jTFmyYXV1e3BAIoCfYAc9O/nsG6nAzWR6gNfa6cViYWV7VcRek+bBCuLlc9YGhqHMrhDMVXH9CEa
0OYJsMu87oePmU/iuE5rL+LeVziAHcV5pi/J6IF4xYx5lkUXkZS0SbqPrrPKSc62T47LsC5v/EpT
B+y8Qv8hYW/baEPExqfa7h+svEWROul1hyfRlNsyMqxt1OjNEaC8BhTAaJwhfTq+H7xKPoSS3JLq
5XmFXWPYYzyBjWK/5CmnxAOvF5h7S0nWGUJFW9Dlpb+U+gKZC6/3q2XXlxJtrSZJfLeVQ+uCBlG0
LPxc8GJwJwAy0AS4voS1wrCDEPNew5jtpmzacmNabe7/DWBGzwkTGc6Ps61P+Q2J5z3FXTMKybkX
b3rKslTSItEDwKVQByXzIskyEc1DR8jSoPhzvr5sHGg2AwSMXFRI0GQvXxsHMsBqRggMnmdcku78
ziCBSf/rHAuUA2FbKCUDMZJl1PL4+YuJLdIiWd4k9n5qQW1awCBIbvIoNNymTBI39g1com2zYVH5
ABPX02BhR2cNkuB/Bl6ObGZDk85PgkUYS/aFiBfVJpYtrCQmYvpNWYx9sYT2/5453WdPb+ozPcSS
uZ9ScJUNkApwcLZ9mMEGOI3GFuygpgYefvLW0N0U9ehfe1HZWdtAVrN43Sq6QR2YyNqnxlMNUboG
kwGCj6xiwZSs1BcjIOIDsp2mWcBMLpQTLO5QFi5Gqd43YTIhQpJ6Afo7bZHsa2YbdidW56EBYjSG
dZ9l9IWdyLaPTc3WrmXsx2tXHp2m37JFhWRxRIW/qABQp0sPCUHLNfM2uUhh2JxDXmZoYhl+c6nC
CgboQ2mlug1anOjMT36cYsOoj/kVDLzpSO88e59KvD4KZVTICc8aR2yKNTVoHXs5TNK0KeFHhO87
aUjwPkDjeJ9LqPDARzA0+cCYdoGTa2q5kykPGJNXlektmTpYh2Vt8GB8HUIRHRazWJsqRi6wChtj
FU/G9I702BTOTi3d2RFjgjCrzQ2eLu2qrv1hpSpNRyLX2GioFqSDHS14pCAWJdzLTZBb2Tm+5ijG
d52x7QgVx0GjZAfMAMaDvlBD129MzNM4u+KrZAK25uTVsMTQr9hPvAH/kJAwIyej4kpR9YAbQHRo
OugmTUmuxMc+zKUEbKflI/2Ad5CylXy7R2XHwVveOgSZMVTnXUGqca1WeY9Acq/6FAfThCMuFLip
HpnBJHFqtJ+HGhKe6/lpaF12AwUFCcGE8l0hmf5HxILUYqWycHxUGIWdYi2MFbXZYzHUsFuMJgfn
RUj0LHsZ3Rd9NZEDWAyYjO4AMmZ+2yPBaqCdRP91wYjHvETQSD2oVYweE5+1AKwI+8dKGEH2ozah
cQ0p6j0N9y51TUXTD3NhH2n0GEmmvoSlpDCXTMMRm0nDHPc9xSjPMMdD1WP2oxSl0hYh3eFanf0q
g1ElA49IH4EDCUtLamn1NvGl/sCiNwANAYFeE/v2wk1sDDE17LQ+Ok6PS2YCOelsaOz4nSVMNJNJ
z1ZAIfSzPM5gq1WeBjK8t2grwX/EGIBUfzpotUxD2SOckF0as7q/lkfJX9Q24JEzmgTt5BJQDocq
so6SsEum1aiW1UcfMPydLVmhyAxkCjGqoRHLaRwgeLzDGqeP1tpOZPE+kyefai5F5/ghyXQNBYEg
8K+xSi89ck4LbxkJYPiJWTURKgfwLD9NMV2WMwXsyJk25FdoAZskwGXoHxbqaBx7/tjjLa+26nkZ
+aMGno12nksYVt/7ZjhO69S3lXetjY4eIXXo3yVx4NjrxAnlydVQmHZDQBnQ9YsQzIpTK/U+J3RX
L0vQ8ws6ULlN+RN39UL3pPiqmzwUy7BPqxdj68vv0zCY3N/vXRyHt0xp8ofmf/+v2+F/bqHRVaEf
NHPF/fVfp8V9dtlU9/fN8XXx7W++emP97/nH/n3uXjfXr/6xmqPbeXtfjRf3dZs8XuTpN3/1h08x
8mos7v/1z+s7xEvdsG6q8Lb5XvgkTv045n6+Th++q9T3HHx592PwtVD1Nw0h7cOsXnvJjdf3bGH2
R2tMMWhxEAJfhl/oksRkTZdphGuCofTct5d5mwbyywAUYCFa+nvhd9biewRSzfK0mgziUAarRUGE
kAbjg9fhtyGQIIFfrEd4rjR3IxOnL5CjdoftDAZgvYmR5kIVupcLyis8wgI8lw5SFeMwm15tS1cE
yVnDMzHW0zwVI61Q+UTmjvC3EMU/6HzhRuZVTocwM1Ci+xgxduR4mJH7E/+vFmZmkPfqTarJ1rYE
v35sd8aInaswQAsqxzq0M1s/c/CE8t1AjfK15zuoljjCQC1wWlVf9rUS46sm/DAy4YyB4LSuinE/
UuUc2e0n8lf9pJwNNVKsNZAlgJ/QAJgoNuNsvsFkmxDozJ4cMVZZjPhTqlNLrlce+hNHoSqMPADR
yGs/RjcXuXvvzCY3dmgdhOE1slzd52a2BDHS2Lsdg7i888kNHpqMvociJ6BIDeEn0uAsAg68PRcl
gLbUe2E9ogsXErlujCO0s5ut3gd5eojVtHbWeUFw7M0mJs5saCI9mpvMRie18DxphfsJVZLwwEI8
Y5FA0lZdob6CyGoDemI54tv+XiG52Z9mWxXWm38LW9c6wfwn3HfyJrukSKwxmo26rdzyzFdtn0dY
gDUIFMSbcG6tR0pSX6SWlT6EVlFqx/AT2vtwbsgXc3O+FX16WXTse9G7dxTVOc5FPx/wmrQBMgjH
PJkb/iEsHoSamAJEYZ+uwnk0UIgpgRZYGlpMYnZQlZl8haaS6FqM3ZTchGVs3wZGIx9VNj6pi7xv
GX54Si9YFxUoiX0gdPgw1PPoQmLw1uBi7GsPY5YFV44YcOTzrKOypx4jvHkGMs3zkCjJ1fMIC8F2
DcqAiYklhifxPEcBXBW963oR4LraMC+teeYSivELVt9MYsZpQpseJ2W6HME8rOmUQHKx3euzpTTP
c8DAyGfRPOVpPaitm2zK4g/cvEKCwiZmQt7jfKgxJ/uoSAvmRnQaSCeJTtWBN0+W2nnKxPyciZNc
5l4F8ru1e1oeOQlsaXbRkgszq8K+IchXlIX+eRME3pk/oAfkBvOMC/KuT7boVVRrOC7edQD1tpD5
qqU3z8iIRNqWjJWMLWGBY808mmdRNGBqAHRmVNFtEWYHlA3RKYlOexw6qfcQCVeETu+QeIarW7/T
8hbbhEY4KARaXhxWuo6tgi0cFlI/h2BvqvguaMKBYRiEGQOgAeVdZeHQME6FheAFX8R0O3DXNOtM
Lf/E4opO2tnkQWmF4UMzmz/g59gs+9kSwp/tIaZhtoqYbSMK9j56DEGBgQOuEsZsMAEcCLMJ3QTL
gXbihI1I4Bv0zgi813akk+XB/cawoisM/6MyayyEj3oLs/ZCgwqDMesxxLM2Q6TbGS2Vujv7/Qj7
fyt2irD7o+BJFP760xloe5X/IcL+0i/9/IN+Lxp/O2+Y/7A5H/jZ5ySQvZv2jnAPMo5ylRg8o+ME
QO6f/0jyzH/6sSIjCA/cjukjAwRewNmI/i/u04/uxM+/5B+TlT9+zs++wP23Vb3BXP1VWvK7N0Lf
c8gpABM9fVHxTV/cCGsPQXym+waQvvn1yHF6ezdCdDF2uhFg4dEzBbEA+2p+0Xh4cSOMPRXAhKaC
h398/b9aEbd5mzUi7fWx33yVqFq/uCm++YSvm4JJGt+NNAKywPziA1/cAnhmvBgiPf+YO/Q2NwWb
eae1YOzpMOlIqcX9EK/Xp4O1ZwiADaDZx58KVsGbvBH64yL95vz+rWPS1hT2Pz3Bp9c3K4J4p5uW
SsNuflEtvMkbYex6IxweuTpDmp6+KY/8xdZQVEg2ttCKEBKs4vXWboQ4txShdLbTxkBpHgE2RRyU
jy8+8MVtQDwT4hERA/TZ/HqrJwSOebvdCEto9GIxA9/iezcCPxlB66WH/dbWwXND4nGB/vcnA2cg
MqfgKp5vAB/4YiXoezQyUE6BEPDl/rzJk4FxxW4rgVQRLVmglPpTavA6geLHtFLozKiPQentZU4w
+3a7A6BsIJDQlXrOpV8vBaH5yHhb/pJqv9U98bRZ//s9oSMDTJCAhf+06DllXuwJKJo01Qgiz1nF
mzsdSfLZr7uWFARDckRj1iF48fUBH3MekF/qz9nCWzsbxdfnxNpxO8CcNUGq0eR99fRtdgnTAMTM
nmLjY7b+Bs+Dx2X5328DKikotyxy1Cqes4AX68DcgyYGks56vNFv7waInvhOWZLBo4ZaRzf/6Rzg
xHt1AxSLHEnokH25P28zNv5iQfnN7ORrQYnvsThRFME+n1+vs2aaMAxB8BJ4/vFbXRFCpninFQGw
VTxwgwHN4414nSToewqTH+PLweg8pqdvcGvsejaw+bGWInF+jgGvQ6Sxx/gLciuwlC/36W1ujV1b
DCRNor2AOdfTN/22xQCYhiNEea4n32zStHO2IFM6cxLOlOEXpyRbBioxcG77sXZ/e5tB27V0IE7A
20JljS8/v15nDNYeZi/kEW/2+z+uyf8+URBdE0xQYRW9Xvyi2QLHXXhtPL7e6uIXIis7xQUHtxH1
Med8sfSNPR66ItvWc9vtzYUDHAUh9+26/qmNoVIAXFBeP3+GDgbeJyq6qk+v+Ta/oROA70+ht+vT
t/dszYQhSWfx8fU6GOp7HH60FdgMbzsYao/rc4eDQNlDswjkqdC7eLERqJk0/OJpKT7doLfaaNd2
LRk4CplaA+55TgdYWy9uhEWPCauKrxXFmzsRnvqK4iTf6US093Rcf2wIw0+P/NsVoQraslB3f3y9
udDwRdFxp9tAJx1aN1PX55XP93yxHjRxl9gtcFMfX4+3/Q2dkM/rYdf0kCQIl3TT1p9j4ev1IGRx
gIojcvl0I97cCfFFhnyn9WAzeGECNfMeX60DfASwynmzOfIfNFF/F5/g8IARQhWzhi8r/cUNYGQN
TBFX9jf33J8HLbvGRmChtA7oHD99f5kS/MUNMAVqFASH9fzzt3oSCCTpTluA/jH1MJIXX9pqr26E
saeBmwUc+1wxv9VmkrprD0X011XyY47ExzXxOlegcCY8GnQW3lrW/LwlHvfqDumiKgzK+fLiVr7a
C+CgaZsIGcz59Rt34BdC5xeQ2zIIk7sZAxfe1y9A6H/6C8/gsD9+wBPoa+ZrgeN59YsCoP740Y/w
L/Hvf7/quc7AtBc/fAaqzdd5evvTF/zjpV9d6/lbPf/HbXhfXVe3AbRHwSd7+jNPrlMwdH/iujG/
4bvg+i/HwE8//U/0snf8+MP+u3j9L4Xd17v5B27AL/35h9d3bfYdzYMvlfOuF1jCtaj/cRF237Pk
+zLJ2vUqixytpu/Jlj8NCnf9/P9k1+lN9Z37JMLZjFfZ9Qq/RM3YcTH9jHK540f/inbGjpf4Fc2p
HS8xL9Mfe1+rHNS7Puczxk731+0f1+pz1KGC2vUap3+q1bnjfTr9U7HnHS/wCxaeu17hl1yYd7zI
L1ip73iFw9wPf7iWhPDLrmvp8P7m5idXYOK48xWu0Wz/Xgx6rs3JkHe/xvfCw/MF/oJtfRD6P7X0
/gt29X76nQj3/BVoN+x6jzZ5enP/w7Wk0yHZ9Qrr+zvStOQfy+sibPjfq/uqCpu8Gp8/+oUOgMAE
73q9Vdb6Pz5pdUrQna8Qh82Pd4cA++98hZ/I6ut/wf5e3eTZ+JOv8BdscPc+ab6TOj0tXQFj2fUm
Le6z9idL9y/Y34vr8T6pf/It/oINvrhub4OfPIq/YI//J+6v/7F/k6c/3OeCqbPr4/jP3XX6s9NQ
jIp3vsZN+OOnYfzp1v5emfmFOPXH4vOZEPW9t72urMVv3Cb319W//w8AAAD//w==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3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microsoft.com/office/2014/relationships/chartEx" Target="../charts/chartEx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1</xdr:row>
      <xdr:rowOff>0</xdr:rowOff>
    </xdr:from>
    <xdr:to>
      <xdr:col>11</xdr:col>
      <xdr:colOff>487680</xdr:colOff>
      <xdr:row>14</xdr:row>
      <xdr:rowOff>53340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62DEEDB-65B7-44BD-8618-8C72FD8AD1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0940" y="190500"/>
              <a:ext cx="4213860" cy="252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406349</xdr:colOff>
      <xdr:row>4</xdr:row>
      <xdr:rowOff>51308</xdr:rowOff>
    </xdr:from>
    <xdr:to>
      <xdr:col>27</xdr:col>
      <xdr:colOff>554791</xdr:colOff>
      <xdr:row>23</xdr:row>
      <xdr:rowOff>72089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D7503-E542-46F2-825E-588DFAF51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54962</xdr:colOff>
      <xdr:row>19</xdr:row>
      <xdr:rowOff>134206</xdr:rowOff>
    </xdr:from>
    <xdr:to>
      <xdr:col>36</xdr:col>
      <xdr:colOff>332053</xdr:colOff>
      <xdr:row>34</xdr:row>
      <xdr:rowOff>57473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16C7E0-64AD-4E0C-BD4C-E8819DACF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126062</xdr:colOff>
      <xdr:row>3</xdr:row>
      <xdr:rowOff>124767</xdr:rowOff>
    </xdr:from>
    <xdr:to>
      <xdr:col>36</xdr:col>
      <xdr:colOff>403153</xdr:colOff>
      <xdr:row>18</xdr:row>
      <xdr:rowOff>47579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D127E5-6B12-49C2-9DEC-63EAAD0AD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320040</xdr:colOff>
      <xdr:row>10</xdr:row>
      <xdr:rowOff>0</xdr:rowOff>
    </xdr:from>
    <xdr:to>
      <xdr:col>20</xdr:col>
      <xdr:colOff>480060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C735D-AD61-4BAB-8A34-E29072D0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4</xdr:row>
      <xdr:rowOff>144780</xdr:rowOff>
    </xdr:from>
    <xdr:to>
      <xdr:col>11</xdr:col>
      <xdr:colOff>408060</xdr:colOff>
      <xdr:row>18</xdr:row>
      <xdr:rowOff>141780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003FE14-E694-4418-9463-4E895200CF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6220" y="1089660"/>
              <a:ext cx="4500000" cy="26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441960</xdr:colOff>
      <xdr:row>27</xdr:row>
      <xdr:rowOff>129540</xdr:rowOff>
    </xdr:from>
    <xdr:to>
      <xdr:col>20</xdr:col>
      <xdr:colOff>510540</xdr:colOff>
      <xdr:row>41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CBF75B-9713-40B4-8B51-048D757E2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358140</xdr:colOff>
      <xdr:row>8</xdr:row>
      <xdr:rowOff>14376</xdr:rowOff>
    </xdr:from>
    <xdr:to>
      <xdr:col>19</xdr:col>
      <xdr:colOff>53340</xdr:colOff>
      <xdr:row>14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8199B-D10A-42AF-BB14-F2390F7B1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129540</xdr:colOff>
      <xdr:row>17</xdr:row>
      <xdr:rowOff>53340</xdr:rowOff>
    </xdr:from>
    <xdr:to>
      <xdr:col>17</xdr:col>
      <xdr:colOff>434340</xdr:colOff>
      <xdr:row>32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AA4F02-AEA3-429F-BF72-43A68FD795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5780" y="3939540"/>
              <a:ext cx="4572000" cy="2865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136584</xdr:colOff>
      <xdr:row>17</xdr:row>
      <xdr:rowOff>43132</xdr:rowOff>
    </xdr:from>
    <xdr:to>
      <xdr:col>30</xdr:col>
      <xdr:colOff>435633</xdr:colOff>
      <xdr:row>33</xdr:row>
      <xdr:rowOff>143773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D393A5-66F2-4BE6-9EB6-661D8D5F1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558848</xdr:colOff>
      <xdr:row>3</xdr:row>
      <xdr:rowOff>14521</xdr:rowOff>
    </xdr:from>
    <xdr:to>
      <xdr:col>27</xdr:col>
      <xdr:colOff>265405</xdr:colOff>
      <xdr:row>13</xdr:row>
      <xdr:rowOff>563305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A0F782-895B-48A3-BB01-3D88B76DF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575095</xdr:colOff>
      <xdr:row>36</xdr:row>
      <xdr:rowOff>43132</xdr:rowOff>
    </xdr:from>
    <xdr:to>
      <xdr:col>23</xdr:col>
      <xdr:colOff>323490</xdr:colOff>
      <xdr:row>52</xdr:row>
      <xdr:rowOff>171092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D51598-4A03-423C-99D1-7D6C7EE0D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244415</xdr:colOff>
      <xdr:row>38</xdr:row>
      <xdr:rowOff>172528</xdr:rowOff>
    </xdr:from>
    <xdr:to>
      <xdr:col>11</xdr:col>
      <xdr:colOff>50320</xdr:colOff>
      <xdr:row>55</xdr:row>
      <xdr:rowOff>113582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E5FAAC-8900-410C-ACCF-C371A062C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182880</xdr:colOff>
      <xdr:row>0</xdr:row>
      <xdr:rowOff>106680</xdr:rowOff>
    </xdr:from>
    <xdr:to>
      <xdr:col>21</xdr:col>
      <xdr:colOff>487680</xdr:colOff>
      <xdr:row>13</xdr:row>
      <xdr:rowOff>7620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BD31E9-7581-4F16-9AD6-E265C96C44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1680" y="1066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441960</xdr:colOff>
      <xdr:row>0</xdr:row>
      <xdr:rowOff>0</xdr:rowOff>
    </xdr:from>
    <xdr:to>
      <xdr:col>14</xdr:col>
      <xdr:colOff>137160</xdr:colOff>
      <xdr:row>12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A5F07-C447-47C3-B6B8-F34652900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DCDC8-81EF-4159-826D-51BA2176D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396240</xdr:colOff>
      <xdr:row>6</xdr:row>
      <xdr:rowOff>167640</xdr:rowOff>
    </xdr:from>
    <xdr:to>
      <xdr:col>12</xdr:col>
      <xdr:colOff>91440</xdr:colOff>
      <xdr:row>21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23284F-C482-47FB-8CE0-AC0B72719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is/OneDrive/Documents/inforgraphic/FUEL%20Report/PMS_Fuel%20WATCH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EL Series"/>
      <sheetName val="Fuel MARCH 2026"/>
      <sheetName val="Calculations"/>
      <sheetName val="Output"/>
    </sheetNames>
    <sheetDataSet>
      <sheetData sheetId="0" refreshError="1"/>
      <sheetData sheetId="1" refreshError="1"/>
      <sheetData sheetId="2" refreshError="1">
        <row r="1">
          <cell r="A1" t="str">
            <v xml:space="preserve">State </v>
          </cell>
        </row>
        <row r="2">
          <cell r="D2">
            <v>1247.8383212781428</v>
          </cell>
        </row>
        <row r="3">
          <cell r="D3">
            <v>1268.490545484879</v>
          </cell>
        </row>
        <row r="4">
          <cell r="D4">
            <v>1350.7321650796703</v>
          </cell>
        </row>
        <row r="5">
          <cell r="D5">
            <v>1301.5161371166655</v>
          </cell>
        </row>
        <row r="6">
          <cell r="D6">
            <v>1441.2242798133802</v>
          </cell>
        </row>
        <row r="7">
          <cell r="D7">
            <v>1290.4728792180795</v>
          </cell>
        </row>
        <row r="8">
          <cell r="D8">
            <v>1252.4847963316722</v>
          </cell>
        </row>
        <row r="9">
          <cell r="D9">
            <v>1303.6794292396801</v>
          </cell>
        </row>
        <row r="10">
          <cell r="D10">
            <v>1375.16229181218</v>
          </cell>
        </row>
        <row r="11">
          <cell r="D11">
            <v>1365.0226376598357</v>
          </cell>
        </row>
        <row r="12">
          <cell r="D12">
            <v>1279.6018592146163</v>
          </cell>
        </row>
        <row r="13">
          <cell r="D13">
            <v>1287.9259111482986</v>
          </cell>
        </row>
        <row r="14">
          <cell r="D14">
            <v>1315.0849964610979</v>
          </cell>
        </row>
        <row r="15">
          <cell r="D15">
            <v>1246.1584492537261</v>
          </cell>
        </row>
        <row r="16">
          <cell r="D16">
            <v>1308.2152442462375</v>
          </cell>
        </row>
        <row r="17">
          <cell r="D17">
            <v>1334.8319859677281</v>
          </cell>
        </row>
        <row r="18">
          <cell r="D18">
            <v>1291.0984925442067</v>
          </cell>
        </row>
        <row r="19">
          <cell r="D19">
            <v>1270.0622189492019</v>
          </cell>
        </row>
        <row r="20">
          <cell r="D20">
            <v>1193.3979999999999</v>
          </cell>
        </row>
        <row r="21">
          <cell r="D21">
            <v>1280.1399870269354</v>
          </cell>
        </row>
        <row r="22">
          <cell r="D22">
            <v>1356.4050026719995</v>
          </cell>
        </row>
        <row r="23">
          <cell r="D23">
            <v>1337.2598090124986</v>
          </cell>
        </row>
        <row r="24">
          <cell r="D24">
            <v>1217.24</v>
          </cell>
        </row>
        <row r="25">
          <cell r="D25">
            <v>1224.2773826855569</v>
          </cell>
        </row>
        <row r="26">
          <cell r="D26">
            <v>1162.7059656525198</v>
          </cell>
        </row>
        <row r="27">
          <cell r="D27">
            <v>1213.7957316349139</v>
          </cell>
        </row>
        <row r="28">
          <cell r="D28">
            <v>1328.4224461270396</v>
          </cell>
        </row>
        <row r="29">
          <cell r="D29">
            <v>1169.7818393190885</v>
          </cell>
        </row>
        <row r="30">
          <cell r="D30">
            <v>1287.8252196603446</v>
          </cell>
        </row>
        <row r="31">
          <cell r="D31">
            <v>1256.9570215394829</v>
          </cell>
        </row>
        <row r="32">
          <cell r="D32">
            <v>1271.3053739558022</v>
          </cell>
        </row>
        <row r="33">
          <cell r="D33">
            <v>1252.4481732820404</v>
          </cell>
        </row>
        <row r="34">
          <cell r="D34">
            <v>1247.8375532391431</v>
          </cell>
        </row>
        <row r="35">
          <cell r="D35">
            <v>1377.5542414974232</v>
          </cell>
        </row>
        <row r="36">
          <cell r="D36">
            <v>1305.7440770852045</v>
          </cell>
        </row>
        <row r="37">
          <cell r="D37">
            <v>1362.0517668263194</v>
          </cell>
        </row>
        <row r="38">
          <cell r="D38">
            <v>1301.3054876896451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zoomScale="65" workbookViewId="0">
      <selection activeCell="D1" sqref="D1:D1048576"/>
    </sheetView>
  </sheetViews>
  <sheetFormatPr defaultRowHeight="14.4" x14ac:dyDescent="0.3"/>
  <cols>
    <col min="1" max="1" width="16.5546875" customWidth="1"/>
    <col min="2" max="4" width="9.88671875" customWidth="1"/>
  </cols>
  <sheetData>
    <row r="1" spans="1:22" ht="15" thickBot="1" x14ac:dyDescent="0.35">
      <c r="A1" s="1" t="s">
        <v>37</v>
      </c>
      <c r="B1" s="2" t="s">
        <v>36</v>
      </c>
      <c r="C1" s="2" t="s">
        <v>38</v>
      </c>
      <c r="D1" s="2" t="s">
        <v>39</v>
      </c>
    </row>
    <row r="2" spans="1:22" ht="15" thickBot="1" x14ac:dyDescent="0.35">
      <c r="A2" s="3" t="s">
        <v>0</v>
      </c>
      <c r="B2" s="4">
        <v>1054.25</v>
      </c>
      <c r="C2" s="4">
        <v>1095.1941456475688</v>
      </c>
      <c r="D2" s="4">
        <f>[1]Calculations!D2</f>
        <v>1247.8383212781428</v>
      </c>
    </row>
    <row r="3" spans="1:22" ht="15" thickBot="1" x14ac:dyDescent="0.35">
      <c r="A3" s="3" t="s">
        <v>40</v>
      </c>
      <c r="B3" s="4">
        <v>959.61129166666672</v>
      </c>
      <c r="C3" s="4">
        <v>1006.32984760697</v>
      </c>
      <c r="D3" s="4">
        <f>[1]Calculations!D3</f>
        <v>1268.490545484879</v>
      </c>
    </row>
    <row r="4" spans="1:22" ht="15" thickBot="1" x14ac:dyDescent="0.35">
      <c r="A4" s="3" t="s">
        <v>1</v>
      </c>
      <c r="B4" s="4">
        <v>1090.1947916666668</v>
      </c>
      <c r="C4" s="4">
        <v>1096.6324641309066</v>
      </c>
      <c r="D4" s="4">
        <f>[1]Calculations!D4</f>
        <v>1350.7321650796703</v>
      </c>
    </row>
    <row r="5" spans="1:22" ht="15" thickBot="1" x14ac:dyDescent="0.35">
      <c r="A5" s="3" t="s">
        <v>2</v>
      </c>
      <c r="B5" s="4">
        <v>1112.7822536091116</v>
      </c>
      <c r="C5" s="4">
        <v>1109.4363411565614</v>
      </c>
      <c r="D5" s="4">
        <f>[1]Calculations!D5</f>
        <v>1301.5161371166655</v>
      </c>
    </row>
    <row r="6" spans="1:22" ht="15" thickBot="1" x14ac:dyDescent="0.35">
      <c r="A6" s="3" t="s">
        <v>3</v>
      </c>
      <c r="B6" s="4">
        <v>980.79375000000005</v>
      </c>
      <c r="C6" s="4">
        <v>1077.5079924242414</v>
      </c>
      <c r="D6" s="4">
        <f>[1]Calculations!D6</f>
        <v>1441.2242798133802</v>
      </c>
    </row>
    <row r="7" spans="1:22" ht="15" thickBot="1" x14ac:dyDescent="0.35">
      <c r="A7" s="3" t="s">
        <v>4</v>
      </c>
      <c r="B7" s="4">
        <v>967.00610555555556</v>
      </c>
      <c r="C7" s="4">
        <v>1005.45175870677</v>
      </c>
      <c r="D7" s="4">
        <f>[1]Calculations!D7</f>
        <v>1290.4728792180795</v>
      </c>
      <c r="S7" s="1" t="s">
        <v>37</v>
      </c>
      <c r="T7" s="2" t="s">
        <v>36</v>
      </c>
      <c r="U7" s="2" t="s">
        <v>38</v>
      </c>
      <c r="V7" s="2" t="s">
        <v>39</v>
      </c>
    </row>
    <row r="8" spans="1:22" ht="15" thickBot="1" x14ac:dyDescent="0.35">
      <c r="A8" s="3" t="s">
        <v>5</v>
      </c>
      <c r="B8" s="4">
        <v>968.88750000000005</v>
      </c>
      <c r="C8" s="4">
        <v>1050.0274999999999</v>
      </c>
      <c r="D8" s="4">
        <f>[1]Calculations!D8</f>
        <v>1252.4847963316722</v>
      </c>
      <c r="S8" s="5" t="s">
        <v>41</v>
      </c>
      <c r="T8" s="6">
        <v>1033.4059999999999</v>
      </c>
      <c r="U8" s="7">
        <v>1051.93</v>
      </c>
      <c r="V8">
        <v>1288.06</v>
      </c>
    </row>
    <row r="9" spans="1:22" ht="15" thickBot="1" x14ac:dyDescent="0.35">
      <c r="A9" s="3" t="s">
        <v>6</v>
      </c>
      <c r="B9" s="4">
        <v>1059.49</v>
      </c>
      <c r="C9" s="4">
        <v>1069.3971361925801</v>
      </c>
      <c r="D9" s="4">
        <f>[1]Calculations!D9</f>
        <v>1303.6794292396801</v>
      </c>
    </row>
    <row r="10" spans="1:22" ht="15" thickBot="1" x14ac:dyDescent="0.35">
      <c r="A10" s="3" t="s">
        <v>7</v>
      </c>
      <c r="B10" s="4">
        <v>1079.5</v>
      </c>
      <c r="C10" s="4">
        <v>1108.0850239171796</v>
      </c>
      <c r="D10" s="4">
        <f>[1]Calculations!D10</f>
        <v>1375.16229181218</v>
      </c>
    </row>
    <row r="11" spans="1:22" ht="15" thickBot="1" x14ac:dyDescent="0.35">
      <c r="A11" s="3" t="s">
        <v>8</v>
      </c>
      <c r="B11" s="4">
        <v>1171.765185114841</v>
      </c>
      <c r="C11" s="4">
        <v>1068.606344432329</v>
      </c>
      <c r="D11" s="4">
        <f>[1]Calculations!D11</f>
        <v>1365.0226376598357</v>
      </c>
    </row>
    <row r="12" spans="1:22" ht="15" thickBot="1" x14ac:dyDescent="0.35">
      <c r="A12" s="3" t="s">
        <v>9</v>
      </c>
      <c r="B12" s="4">
        <v>1012.4313442728118</v>
      </c>
      <c r="C12" s="4">
        <v>1023.8071483574723</v>
      </c>
      <c r="D12" s="4">
        <f>[1]Calculations!D12</f>
        <v>1279.6018592146163</v>
      </c>
    </row>
    <row r="13" spans="1:22" ht="15" thickBot="1" x14ac:dyDescent="0.35">
      <c r="A13" s="3" t="s">
        <v>10</v>
      </c>
      <c r="B13" s="4">
        <v>1065.8506714285716</v>
      </c>
      <c r="C13" s="4">
        <v>1095.6565671715173</v>
      </c>
      <c r="D13" s="4">
        <f>[1]Calculations!D13</f>
        <v>1287.9259111482986</v>
      </c>
    </row>
    <row r="14" spans="1:22" ht="15" thickBot="1" x14ac:dyDescent="0.35">
      <c r="A14" s="3" t="s">
        <v>11</v>
      </c>
      <c r="B14" s="4">
        <v>1029.45</v>
      </c>
      <c r="C14" s="4">
        <v>1055.3399999999999</v>
      </c>
      <c r="D14" s="4">
        <f>[1]Calculations!D14</f>
        <v>1315.0849964610979</v>
      </c>
    </row>
    <row r="15" spans="1:22" ht="15" thickBot="1" x14ac:dyDescent="0.35">
      <c r="A15" s="3" t="s">
        <v>12</v>
      </c>
      <c r="B15" s="4">
        <v>946.90090967871424</v>
      </c>
      <c r="C15" s="4">
        <v>1015.7126408420496</v>
      </c>
      <c r="D15" s="4">
        <f>[1]Calculations!D15</f>
        <v>1246.1584492537261</v>
      </c>
    </row>
    <row r="16" spans="1:22" ht="15" thickBot="1" x14ac:dyDescent="0.35">
      <c r="A16" s="3" t="s">
        <v>13</v>
      </c>
      <c r="B16" s="4">
        <v>946.91616666666653</v>
      </c>
      <c r="C16" s="4">
        <v>1008.7965189105699</v>
      </c>
      <c r="D16" s="4">
        <f>[1]Calculations!D16</f>
        <v>1308.2152442462375</v>
      </c>
    </row>
    <row r="17" spans="1:4" ht="15" thickBot="1" x14ac:dyDescent="0.35">
      <c r="A17" s="3" t="s">
        <v>14</v>
      </c>
      <c r="B17" s="4">
        <v>1016.8226789622222</v>
      </c>
      <c r="C17" s="4">
        <v>1106.0449880536501</v>
      </c>
      <c r="D17" s="4">
        <f>[1]Calculations!D17</f>
        <v>1334.8319859677281</v>
      </c>
    </row>
    <row r="18" spans="1:4" ht="15" thickBot="1" x14ac:dyDescent="0.35">
      <c r="A18" s="3" t="s">
        <v>15</v>
      </c>
      <c r="B18" s="4">
        <v>1085.8726891178571</v>
      </c>
      <c r="C18" s="4">
        <v>1016.586025415284</v>
      </c>
      <c r="D18" s="4">
        <f>[1]Calculations!D18</f>
        <v>1291.0984925442067</v>
      </c>
    </row>
    <row r="19" spans="1:4" ht="15" thickBot="1" x14ac:dyDescent="0.35">
      <c r="A19" s="3" t="s">
        <v>16</v>
      </c>
      <c r="B19" s="4">
        <v>983.45983285619138</v>
      </c>
      <c r="C19" s="4">
        <v>1068.9572309156815</v>
      </c>
      <c r="D19" s="4">
        <f>[1]Calculations!D19</f>
        <v>1270.0622189492019</v>
      </c>
    </row>
    <row r="20" spans="1:4" ht="15" thickBot="1" x14ac:dyDescent="0.35">
      <c r="A20" s="3" t="s">
        <v>17</v>
      </c>
      <c r="B20" s="4">
        <v>947</v>
      </c>
      <c r="C20" s="4">
        <v>1000.0666666666666</v>
      </c>
      <c r="D20" s="4">
        <f>[1]Calculations!D20</f>
        <v>1193.3979999999999</v>
      </c>
    </row>
    <row r="21" spans="1:4" ht="15" thickBot="1" x14ac:dyDescent="0.35">
      <c r="A21" s="3" t="s">
        <v>18</v>
      </c>
      <c r="B21" s="4">
        <v>1014.3976810673672</v>
      </c>
      <c r="C21" s="4">
        <v>1032.4446482783387</v>
      </c>
      <c r="D21" s="4">
        <f>[1]Calculations!D21</f>
        <v>1280.1399870269354</v>
      </c>
    </row>
    <row r="22" spans="1:4" ht="15" thickBot="1" x14ac:dyDescent="0.35">
      <c r="A22" s="3" t="s">
        <v>19</v>
      </c>
      <c r="B22" s="4">
        <v>1035.8349583333334</v>
      </c>
      <c r="C22" s="4">
        <v>1009.56085349024</v>
      </c>
      <c r="D22" s="4">
        <f>[1]Calculations!D22</f>
        <v>1356.4050026719995</v>
      </c>
    </row>
    <row r="23" spans="1:4" ht="15" thickBot="1" x14ac:dyDescent="0.35">
      <c r="A23" s="3" t="s">
        <v>20</v>
      </c>
      <c r="B23" s="4">
        <v>1042.8995413802099</v>
      </c>
      <c r="C23" s="4">
        <v>1047.7039807835356</v>
      </c>
      <c r="D23" s="4">
        <f>[1]Calculations!D23</f>
        <v>1337.2598090124986</v>
      </c>
    </row>
    <row r="24" spans="1:4" ht="15" thickBot="1" x14ac:dyDescent="0.35">
      <c r="A24" s="3" t="s">
        <v>21</v>
      </c>
      <c r="B24" s="4">
        <v>960</v>
      </c>
      <c r="C24" s="4">
        <v>1002</v>
      </c>
      <c r="D24" s="4">
        <f>[1]Calculations!D24</f>
        <v>1217.24</v>
      </c>
    </row>
    <row r="25" spans="1:4" ht="15" thickBot="1" x14ac:dyDescent="0.35">
      <c r="A25" s="3" t="s">
        <v>22</v>
      </c>
      <c r="B25" s="4">
        <v>1109.1572490111942</v>
      </c>
      <c r="C25" s="4">
        <v>1064.6276672387444</v>
      </c>
      <c r="D25" s="4">
        <f>[1]Calculations!D25</f>
        <v>1224.2773826855569</v>
      </c>
    </row>
    <row r="26" spans="1:4" ht="15" thickBot="1" x14ac:dyDescent="0.35">
      <c r="A26" s="3" t="s">
        <v>23</v>
      </c>
      <c r="B26" s="4">
        <v>1026.10526907287</v>
      </c>
      <c r="C26" s="4">
        <v>966.60965193062839</v>
      </c>
      <c r="D26" s="4">
        <f>[1]Calculations!D26</f>
        <v>1162.7059656525198</v>
      </c>
    </row>
    <row r="27" spans="1:4" ht="15" thickBot="1" x14ac:dyDescent="0.35">
      <c r="A27" s="3" t="s">
        <v>24</v>
      </c>
      <c r="B27" s="4">
        <v>1149.1342781461683</v>
      </c>
      <c r="C27" s="4">
        <v>1042.6815218774004</v>
      </c>
      <c r="D27" s="4">
        <f>[1]Calculations!D27</f>
        <v>1213.7957316349139</v>
      </c>
    </row>
    <row r="28" spans="1:4" ht="15" thickBot="1" x14ac:dyDescent="0.35">
      <c r="A28" s="3" t="s">
        <v>25</v>
      </c>
      <c r="B28" s="4">
        <v>983.50650474999998</v>
      </c>
      <c r="C28" s="4">
        <v>1072.6494935481323</v>
      </c>
      <c r="D28" s="4">
        <f>[1]Calculations!D28</f>
        <v>1328.4224461270396</v>
      </c>
    </row>
    <row r="29" spans="1:4" ht="15" thickBot="1" x14ac:dyDescent="0.35">
      <c r="A29" s="3" t="s">
        <v>26</v>
      </c>
      <c r="B29" s="4">
        <v>995.65770644023632</v>
      </c>
      <c r="C29" s="4">
        <v>1029.6665876407706</v>
      </c>
      <c r="D29" s="4">
        <f>[1]Calculations!D29</f>
        <v>1169.7818393190885</v>
      </c>
    </row>
    <row r="30" spans="1:4" ht="15" thickBot="1" x14ac:dyDescent="0.35">
      <c r="A30" s="3" t="s">
        <v>27</v>
      </c>
      <c r="B30" s="4">
        <v>1036.6688796505362</v>
      </c>
      <c r="C30" s="4">
        <v>1071.5644526898609</v>
      </c>
      <c r="D30" s="4">
        <f>[1]Calculations!D30</f>
        <v>1287.8252196603446</v>
      </c>
    </row>
    <row r="31" spans="1:4" ht="15" thickBot="1" x14ac:dyDescent="0.35">
      <c r="A31" s="3" t="s">
        <v>28</v>
      </c>
      <c r="B31" s="4">
        <v>1037.3764624716425</v>
      </c>
      <c r="C31" s="4">
        <v>1086.3613159424251</v>
      </c>
      <c r="D31" s="4">
        <f>[1]Calculations!D31</f>
        <v>1256.9570215394829</v>
      </c>
    </row>
    <row r="32" spans="1:4" ht="15" thickBot="1" x14ac:dyDescent="0.35">
      <c r="A32" s="3" t="s">
        <v>29</v>
      </c>
      <c r="B32" s="4">
        <v>1013.1016032</v>
      </c>
      <c r="C32" s="4">
        <v>973.44872962790305</v>
      </c>
      <c r="D32" s="4">
        <f>[1]Calculations!D32</f>
        <v>1271.3053739558022</v>
      </c>
    </row>
    <row r="33" spans="1:27" ht="15" thickBot="1" x14ac:dyDescent="0.35">
      <c r="A33" s="3" t="s">
        <v>30</v>
      </c>
      <c r="B33" s="4">
        <v>1077.1600000000001</v>
      </c>
      <c r="C33" s="4">
        <v>1051.727557265312</v>
      </c>
      <c r="D33" s="4">
        <f>[1]Calculations!D33</f>
        <v>1252.4481732820404</v>
      </c>
    </row>
    <row r="34" spans="1:27" ht="15" thickBot="1" x14ac:dyDescent="0.35">
      <c r="A34" s="3" t="s">
        <v>31</v>
      </c>
      <c r="B34" s="4">
        <v>1160.91714</v>
      </c>
      <c r="C34" s="4">
        <v>1030.7429628275222</v>
      </c>
      <c r="D34" s="4">
        <f>[1]Calculations!D34</f>
        <v>1247.8375532391431</v>
      </c>
    </row>
    <row r="35" spans="1:27" ht="15" thickBot="1" x14ac:dyDescent="0.35">
      <c r="A35" s="3" t="s">
        <v>32</v>
      </c>
      <c r="B35" s="4">
        <v>1019.311709859084</v>
      </c>
      <c r="C35" s="4">
        <v>1116.8115997626001</v>
      </c>
      <c r="D35" s="4">
        <f>[1]Calculations!D35</f>
        <v>1377.5542414974232</v>
      </c>
    </row>
    <row r="36" spans="1:27" ht="15" thickBot="1" x14ac:dyDescent="0.35">
      <c r="A36" s="3" t="s">
        <v>33</v>
      </c>
      <c r="B36" s="4">
        <v>1048.4107509999999</v>
      </c>
      <c r="C36" s="4">
        <v>1055.4908480870617</v>
      </c>
      <c r="D36" s="4">
        <f>[1]Calculations!D36</f>
        <v>1305.7440770852045</v>
      </c>
      <c r="Z36" s="1"/>
      <c r="AA36" s="2"/>
    </row>
    <row r="37" spans="1:27" ht="15" thickBot="1" x14ac:dyDescent="0.35">
      <c r="A37" s="3" t="s">
        <v>34</v>
      </c>
      <c r="B37" s="4">
        <v>1050.7736628333334</v>
      </c>
      <c r="C37" s="4">
        <v>1134.7317862777957</v>
      </c>
      <c r="D37" s="4">
        <f>[1]Calculations!D37</f>
        <v>1362.0517668263194</v>
      </c>
      <c r="Z37" s="5"/>
      <c r="AA37" s="6"/>
    </row>
    <row r="38" spans="1:27" ht="15" thickBot="1" x14ac:dyDescent="0.35">
      <c r="A38" s="3" t="s">
        <v>35</v>
      </c>
      <c r="B38" s="4">
        <v>1046.56769610574</v>
      </c>
      <c r="C38" s="4">
        <v>1038.0130892545455</v>
      </c>
      <c r="D38" s="4">
        <f>[1]Calculations!D38</f>
        <v>1301.3054876896451</v>
      </c>
    </row>
    <row r="39" spans="1:27" x14ac:dyDescent="0.3">
      <c r="A39" s="5" t="s">
        <v>41</v>
      </c>
      <c r="B39" s="6">
        <v>1033.4059999999999</v>
      </c>
      <c r="C39" s="7">
        <v>1051.93</v>
      </c>
      <c r="D39">
        <v>1288.06</v>
      </c>
    </row>
    <row r="40" spans="1:27" x14ac:dyDescent="0.3">
      <c r="C40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D79D-94C9-4899-8B77-C81F54C46EFD}">
  <dimension ref="A1:J39"/>
  <sheetViews>
    <sheetView workbookViewId="0">
      <selection activeCell="A25" sqref="A25"/>
    </sheetView>
  </sheetViews>
  <sheetFormatPr defaultRowHeight="14.4" x14ac:dyDescent="0.3"/>
  <cols>
    <col min="1" max="1" width="16.5546875" customWidth="1"/>
    <col min="2" max="2" width="9.88671875" customWidth="1"/>
    <col min="3" max="3" width="18.6640625" style="10" customWidth="1"/>
    <col min="10" max="10" width="11.33203125" customWidth="1"/>
  </cols>
  <sheetData>
    <row r="1" spans="1:3" ht="29.4" thickBot="1" x14ac:dyDescent="0.35">
      <c r="A1" s="1" t="s">
        <v>37</v>
      </c>
      <c r="B1" s="2" t="s">
        <v>36</v>
      </c>
      <c r="C1" s="8" t="s">
        <v>42</v>
      </c>
    </row>
    <row r="2" spans="1:3" ht="15" thickBot="1" x14ac:dyDescent="0.35">
      <c r="A2" s="3" t="s">
        <v>0</v>
      </c>
      <c r="B2" s="4">
        <v>1054.25</v>
      </c>
      <c r="C2" s="9">
        <v>649</v>
      </c>
    </row>
    <row r="3" spans="1:3" ht="15" thickBot="1" x14ac:dyDescent="0.35">
      <c r="A3" s="3" t="s">
        <v>40</v>
      </c>
      <c r="B3" s="4">
        <v>959.61129166666672</v>
      </c>
      <c r="C3" s="9">
        <v>1007.77041328728</v>
      </c>
    </row>
    <row r="4" spans="1:3" ht="15" thickBot="1" x14ac:dyDescent="0.35">
      <c r="A4" s="3" t="s">
        <v>1</v>
      </c>
      <c r="B4" s="4">
        <v>1090.1947916666668</v>
      </c>
      <c r="C4" s="9">
        <v>695.59095226667</v>
      </c>
    </row>
    <row r="5" spans="1:3" ht="15" thickBot="1" x14ac:dyDescent="0.35">
      <c r="A5" s="3" t="s">
        <v>2</v>
      </c>
      <c r="B5" s="4">
        <v>1112.7822536091116</v>
      </c>
      <c r="C5" s="9">
        <v>1110.91601917239</v>
      </c>
    </row>
    <row r="6" spans="1:3" ht="15" thickBot="1" x14ac:dyDescent="0.35">
      <c r="A6" s="3" t="s">
        <v>3</v>
      </c>
      <c r="B6" s="4">
        <v>980.79375000000005</v>
      </c>
      <c r="C6" s="9">
        <v>1166.25</v>
      </c>
    </row>
    <row r="7" spans="1:3" ht="15" thickBot="1" x14ac:dyDescent="0.35">
      <c r="A7" s="3" t="s">
        <v>4</v>
      </c>
      <c r="B7" s="4">
        <v>967.00610555555556</v>
      </c>
      <c r="C7" s="9">
        <v>1222.7976636405299</v>
      </c>
    </row>
    <row r="8" spans="1:3" ht="15" thickBot="1" x14ac:dyDescent="0.35">
      <c r="A8" s="3" t="s">
        <v>5</v>
      </c>
      <c r="B8" s="4">
        <v>968.88750000000005</v>
      </c>
      <c r="C8" s="9">
        <v>1081.6666666666599</v>
      </c>
    </row>
    <row r="9" spans="1:3" ht="15" thickBot="1" x14ac:dyDescent="0.35">
      <c r="A9" s="3" t="s">
        <v>6</v>
      </c>
      <c r="B9" s="4">
        <v>1059.49</v>
      </c>
      <c r="C9" s="9">
        <v>1247.43257941971</v>
      </c>
    </row>
    <row r="10" spans="1:3" ht="15" thickBot="1" x14ac:dyDescent="0.35">
      <c r="A10" s="3" t="s">
        <v>7</v>
      </c>
      <c r="B10" s="4">
        <v>1079.5</v>
      </c>
      <c r="C10" s="9">
        <v>1326.0394548178001</v>
      </c>
    </row>
    <row r="11" spans="1:3" ht="15" thickBot="1" x14ac:dyDescent="0.35">
      <c r="A11" s="3" t="s">
        <v>8</v>
      </c>
      <c r="B11" s="4">
        <v>1171.765185114841</v>
      </c>
      <c r="C11" s="9">
        <v>1230.1816737484</v>
      </c>
    </row>
    <row r="12" spans="1:3" ht="15" thickBot="1" x14ac:dyDescent="0.35">
      <c r="A12" s="3" t="s">
        <v>9</v>
      </c>
      <c r="B12" s="4">
        <v>1012.4313442728118</v>
      </c>
      <c r="C12" s="9">
        <v>1228.1748984619801</v>
      </c>
    </row>
    <row r="13" spans="1:3" ht="15" thickBot="1" x14ac:dyDescent="0.35">
      <c r="A13" s="3" t="s">
        <v>10</v>
      </c>
      <c r="B13" s="4">
        <v>1065.8506714285716</v>
      </c>
      <c r="C13" s="9">
        <v>1103.0389375</v>
      </c>
    </row>
    <row r="14" spans="1:3" ht="15" thickBot="1" x14ac:dyDescent="0.35">
      <c r="A14" s="3" t="s">
        <v>11</v>
      </c>
      <c r="B14" s="4">
        <v>1029.45</v>
      </c>
      <c r="C14" s="9">
        <v>1283.0389375</v>
      </c>
    </row>
    <row r="15" spans="1:3" ht="15" thickBot="1" x14ac:dyDescent="0.35">
      <c r="A15" s="3" t="s">
        <v>12</v>
      </c>
      <c r="B15" s="4">
        <v>946.90090967871424</v>
      </c>
      <c r="C15" s="9">
        <v>1185.34073711887</v>
      </c>
    </row>
    <row r="16" spans="1:3" ht="15" thickBot="1" x14ac:dyDescent="0.35">
      <c r="A16" s="3" t="s">
        <v>13</v>
      </c>
      <c r="B16" s="4">
        <v>946.91616666666653</v>
      </c>
      <c r="C16" s="9">
        <v>1308.023749688</v>
      </c>
    </row>
    <row r="17" spans="1:10" ht="15" thickBot="1" x14ac:dyDescent="0.35">
      <c r="A17" s="3" t="s">
        <v>14</v>
      </c>
      <c r="B17" s="4">
        <v>1016.8226789622222</v>
      </c>
      <c r="C17" s="9">
        <v>1165.3097947007</v>
      </c>
    </row>
    <row r="18" spans="1:10" ht="15" thickBot="1" x14ac:dyDescent="0.35">
      <c r="A18" s="3" t="s">
        <v>15</v>
      </c>
      <c r="B18" s="4">
        <v>1085.8726891178571</v>
      </c>
      <c r="C18" s="9">
        <v>1217.0357435429</v>
      </c>
    </row>
    <row r="19" spans="1:10" ht="15" thickBot="1" x14ac:dyDescent="0.35">
      <c r="A19" s="3" t="s">
        <v>16</v>
      </c>
      <c r="B19" s="4">
        <v>983.45983285619138</v>
      </c>
      <c r="C19" s="9">
        <v>1325.97128260727</v>
      </c>
    </row>
    <row r="20" spans="1:10" ht="15" thickBot="1" x14ac:dyDescent="0.35">
      <c r="A20" s="3" t="s">
        <v>17</v>
      </c>
      <c r="B20" s="4">
        <v>947</v>
      </c>
      <c r="C20" s="9">
        <v>1370.3333333333301</v>
      </c>
    </row>
    <row r="21" spans="1:10" ht="15" thickBot="1" x14ac:dyDescent="0.35">
      <c r="A21" s="3" t="s">
        <v>18</v>
      </c>
      <c r="B21" s="4">
        <v>1014.3976810673672</v>
      </c>
      <c r="C21" s="9">
        <v>891.42792530821998</v>
      </c>
    </row>
    <row r="22" spans="1:10" ht="15" thickBot="1" x14ac:dyDescent="0.35">
      <c r="A22" s="3" t="s">
        <v>19</v>
      </c>
      <c r="B22" s="4">
        <v>1035.8349583333334</v>
      </c>
      <c r="C22" s="9">
        <v>1148.81751653334</v>
      </c>
    </row>
    <row r="23" spans="1:10" ht="15" thickBot="1" x14ac:dyDescent="0.35">
      <c r="A23" s="3" t="s">
        <v>20</v>
      </c>
      <c r="B23" s="4">
        <v>1042.8995413802099</v>
      </c>
      <c r="C23" s="9">
        <v>955.39131320000001</v>
      </c>
    </row>
    <row r="24" spans="1:10" ht="15" thickBot="1" x14ac:dyDescent="0.35">
      <c r="A24" s="3" t="s">
        <v>21</v>
      </c>
      <c r="B24" s="4">
        <v>960</v>
      </c>
      <c r="C24" s="9">
        <v>1125.1227881249999</v>
      </c>
    </row>
    <row r="25" spans="1:10" ht="15" thickBot="1" x14ac:dyDescent="0.35">
      <c r="A25" s="3" t="s">
        <v>22</v>
      </c>
      <c r="B25" s="4">
        <v>1109.1572490111942</v>
      </c>
      <c r="C25" s="9">
        <v>1393.23419237455</v>
      </c>
    </row>
    <row r="26" spans="1:10" ht="15" thickBot="1" x14ac:dyDescent="0.35">
      <c r="A26" s="3" t="s">
        <v>23</v>
      </c>
      <c r="B26" s="4">
        <v>1026.10526907287</v>
      </c>
      <c r="C26" s="9">
        <v>1566.03120472917</v>
      </c>
    </row>
    <row r="27" spans="1:10" ht="15" thickBot="1" x14ac:dyDescent="0.35">
      <c r="A27" s="3" t="s">
        <v>24</v>
      </c>
      <c r="B27" s="4">
        <v>1149.1342781461683</v>
      </c>
      <c r="C27" s="9">
        <v>1338.0826673040001</v>
      </c>
    </row>
    <row r="28" spans="1:10" ht="15" thickBot="1" x14ac:dyDescent="0.35">
      <c r="A28" s="3" t="s">
        <v>25</v>
      </c>
      <c r="B28" s="4">
        <v>983.50650474999998</v>
      </c>
      <c r="C28" s="9">
        <v>1170.6666666666599</v>
      </c>
    </row>
    <row r="29" spans="1:10" ht="29.4" thickBot="1" x14ac:dyDescent="0.35">
      <c r="A29" s="3" t="s">
        <v>26</v>
      </c>
      <c r="B29" s="4">
        <v>995.65770644023632</v>
      </c>
      <c r="C29" s="9">
        <v>1376.7731530359099</v>
      </c>
      <c r="H29" s="1" t="s">
        <v>37</v>
      </c>
      <c r="I29" s="2" t="s">
        <v>43</v>
      </c>
      <c r="J29" s="8" t="s">
        <v>44</v>
      </c>
    </row>
    <row r="30" spans="1:10" ht="15" thickBot="1" x14ac:dyDescent="0.35">
      <c r="A30" s="3" t="s">
        <v>27</v>
      </c>
      <c r="B30" s="4">
        <v>1036.6688796505362</v>
      </c>
      <c r="C30" s="9">
        <v>1379.6175479757001</v>
      </c>
      <c r="H30" s="5" t="s">
        <v>41</v>
      </c>
      <c r="I30" s="6">
        <v>1033.4059999999999</v>
      </c>
      <c r="J30" s="11">
        <v>1186.9774635621034</v>
      </c>
    </row>
    <row r="31" spans="1:10" ht="15" thickBot="1" x14ac:dyDescent="0.35">
      <c r="A31" s="3" t="s">
        <v>28</v>
      </c>
      <c r="B31" s="4">
        <v>1037.3764624716425</v>
      </c>
      <c r="C31" s="9">
        <v>1127.5121658836699</v>
      </c>
    </row>
    <row r="32" spans="1:10" ht="15" thickBot="1" x14ac:dyDescent="0.35">
      <c r="A32" s="3" t="s">
        <v>29</v>
      </c>
      <c r="B32" s="4">
        <v>1013.1016032</v>
      </c>
      <c r="C32" s="9">
        <v>1306.09312205434</v>
      </c>
    </row>
    <row r="33" spans="1:3" ht="15" thickBot="1" x14ac:dyDescent="0.35">
      <c r="A33" s="3" t="s">
        <v>30</v>
      </c>
      <c r="B33" s="4">
        <v>1077.1600000000001</v>
      </c>
      <c r="C33" s="9">
        <v>1145.5898878587</v>
      </c>
    </row>
    <row r="34" spans="1:3" ht="15" thickBot="1" x14ac:dyDescent="0.35">
      <c r="A34" s="3" t="s">
        <v>31</v>
      </c>
      <c r="B34" s="4">
        <v>1160.91714</v>
      </c>
      <c r="C34" s="9">
        <v>973.47183274990005</v>
      </c>
    </row>
    <row r="35" spans="1:3" ht="15" thickBot="1" x14ac:dyDescent="0.35">
      <c r="A35" s="3" t="s">
        <v>32</v>
      </c>
      <c r="B35" s="4">
        <v>1019.311709859084</v>
      </c>
      <c r="C35" s="9">
        <v>950</v>
      </c>
    </row>
    <row r="36" spans="1:3" ht="15" thickBot="1" x14ac:dyDescent="0.35">
      <c r="A36" s="3" t="s">
        <v>33</v>
      </c>
      <c r="B36" s="4">
        <v>1048.4107509999999</v>
      </c>
      <c r="C36" s="9">
        <v>1378.5521282295999</v>
      </c>
    </row>
    <row r="37" spans="1:3" ht="15" thickBot="1" x14ac:dyDescent="0.35">
      <c r="A37" s="3" t="s">
        <v>34</v>
      </c>
      <c r="B37" s="4">
        <v>1050.7736628333334</v>
      </c>
      <c r="C37" s="9">
        <v>1380.4807655279999</v>
      </c>
    </row>
    <row r="38" spans="1:3" ht="15" thickBot="1" x14ac:dyDescent="0.35">
      <c r="A38" s="3" t="s">
        <v>35</v>
      </c>
      <c r="B38" s="4">
        <v>1046.56769610574</v>
      </c>
      <c r="C38" s="9">
        <v>1387.38843676856</v>
      </c>
    </row>
    <row r="39" spans="1:3" x14ac:dyDescent="0.3">
      <c r="A39" s="5" t="s">
        <v>41</v>
      </c>
      <c r="B39" s="6">
        <v>1033.4059999999999</v>
      </c>
      <c r="C39" s="11">
        <f>AVERAGE(C2:C38)</f>
        <v>1186.9774635621034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4F1D-253E-4EF7-A1ED-83CE400C3B3D}">
  <dimension ref="A1:J40"/>
  <sheetViews>
    <sheetView zoomScale="42" workbookViewId="0">
      <selection activeCell="E10" sqref="E10"/>
    </sheetView>
  </sheetViews>
  <sheetFormatPr defaultRowHeight="14.4" x14ac:dyDescent="0.3"/>
  <cols>
    <col min="1" max="1" width="16.5546875" customWidth="1"/>
    <col min="2" max="2" width="9.88671875" customWidth="1"/>
    <col min="3" max="3" width="11.44140625" style="10" bestFit="1" customWidth="1"/>
    <col min="7" max="7" width="10.77734375" customWidth="1"/>
    <col min="10" max="10" width="23.77734375" customWidth="1"/>
  </cols>
  <sheetData>
    <row r="1" spans="1:10" ht="43.8" thickBot="1" x14ac:dyDescent="0.35">
      <c r="A1" s="1" t="s">
        <v>37</v>
      </c>
      <c r="B1" s="2" t="s">
        <v>43</v>
      </c>
      <c r="C1" s="8" t="s">
        <v>45</v>
      </c>
    </row>
    <row r="2" spans="1:10" ht="15" thickBot="1" x14ac:dyDescent="0.35">
      <c r="A2" s="3" t="s">
        <v>0</v>
      </c>
      <c r="B2" s="4">
        <v>1095.1941456475688</v>
      </c>
      <c r="C2" s="9">
        <v>699.16633371879004</v>
      </c>
    </row>
    <row r="3" spans="1:10" ht="15" thickBot="1" x14ac:dyDescent="0.35">
      <c r="A3" s="3" t="s">
        <v>40</v>
      </c>
      <c r="B3" s="4">
        <v>1006.32984760697</v>
      </c>
      <c r="C3" s="9">
        <v>1223.1001461678597</v>
      </c>
    </row>
    <row r="4" spans="1:10" ht="15" thickBot="1" x14ac:dyDescent="0.35">
      <c r="A4" s="3" t="s">
        <v>1</v>
      </c>
      <c r="B4" s="4">
        <v>1096.6324641309066</v>
      </c>
      <c r="C4" s="9">
        <v>700</v>
      </c>
    </row>
    <row r="5" spans="1:10" ht="15" thickBot="1" x14ac:dyDescent="0.35">
      <c r="A5" s="3" t="s">
        <v>2</v>
      </c>
      <c r="B5" s="4">
        <v>1109.4363411565614</v>
      </c>
      <c r="C5" s="9">
        <v>1197.1789701606201</v>
      </c>
    </row>
    <row r="6" spans="1:10" ht="15" thickBot="1" x14ac:dyDescent="0.35">
      <c r="A6" s="3" t="s">
        <v>3</v>
      </c>
      <c r="B6" s="4">
        <v>1077.5079924242414</v>
      </c>
      <c r="C6" s="9">
        <v>1173.375</v>
      </c>
    </row>
    <row r="7" spans="1:10" ht="15" thickBot="1" x14ac:dyDescent="0.35">
      <c r="A7" s="3" t="s">
        <v>4</v>
      </c>
      <c r="B7" s="4">
        <v>1005.45175870677</v>
      </c>
      <c r="C7" s="9">
        <v>1276.54601574</v>
      </c>
    </row>
    <row r="8" spans="1:10" ht="15" thickBot="1" x14ac:dyDescent="0.35">
      <c r="A8" s="3" t="s">
        <v>5</v>
      </c>
      <c r="B8" s="4">
        <v>1050.0274999999999</v>
      </c>
      <c r="C8" s="9">
        <v>1089.3</v>
      </c>
    </row>
    <row r="9" spans="1:10" ht="37.200000000000003" customHeight="1" thickBot="1" x14ac:dyDescent="0.35">
      <c r="A9" s="3" t="s">
        <v>6</v>
      </c>
      <c r="B9" s="4">
        <v>1069.3971361925801</v>
      </c>
      <c r="C9" s="9">
        <v>1249.4746738884901</v>
      </c>
      <c r="H9" s="1" t="s">
        <v>37</v>
      </c>
      <c r="I9" s="2" t="s">
        <v>43</v>
      </c>
      <c r="J9" s="8" t="s">
        <v>45</v>
      </c>
    </row>
    <row r="10" spans="1:10" ht="15" thickBot="1" x14ac:dyDescent="0.35">
      <c r="A10" s="3" t="s">
        <v>7</v>
      </c>
      <c r="B10" s="4">
        <v>1108.0850239171796</v>
      </c>
      <c r="C10" s="9">
        <v>1389.32857182516</v>
      </c>
      <c r="H10" t="s">
        <v>41</v>
      </c>
      <c r="I10">
        <v>1051.93</v>
      </c>
      <c r="J10">
        <v>1195.7502955501307</v>
      </c>
    </row>
    <row r="11" spans="1:10" ht="15" thickBot="1" x14ac:dyDescent="0.35">
      <c r="A11" s="3" t="s">
        <v>8</v>
      </c>
      <c r="B11" s="4">
        <v>1068.606344432329</v>
      </c>
      <c r="C11" s="9">
        <v>1205.27150815402</v>
      </c>
    </row>
    <row r="12" spans="1:10" ht="15" thickBot="1" x14ac:dyDescent="0.35">
      <c r="A12" s="3" t="s">
        <v>9</v>
      </c>
      <c r="B12" s="4">
        <v>1023.8071483574723</v>
      </c>
      <c r="C12" s="9">
        <v>1295.01268991756</v>
      </c>
    </row>
    <row r="13" spans="1:10" ht="15" thickBot="1" x14ac:dyDescent="0.35">
      <c r="A13" s="3" t="s">
        <v>10</v>
      </c>
      <c r="B13" s="4">
        <v>1095.6565671715173</v>
      </c>
      <c r="C13" s="9">
        <v>1140.9112810377301</v>
      </c>
    </row>
    <row r="14" spans="1:10" ht="72.599999999999994" thickBot="1" x14ac:dyDescent="0.35">
      <c r="A14" s="3" t="s">
        <v>11</v>
      </c>
      <c r="B14" s="4">
        <v>1055.3399999999999</v>
      </c>
      <c r="C14" s="9">
        <v>1294.6230158374999</v>
      </c>
      <c r="F14" s="1" t="s">
        <v>37</v>
      </c>
      <c r="G14" s="8" t="s">
        <v>45</v>
      </c>
    </row>
    <row r="15" spans="1:10" ht="15" thickBot="1" x14ac:dyDescent="0.35">
      <c r="A15" s="3" t="s">
        <v>12</v>
      </c>
      <c r="B15" s="4">
        <v>1015.7126408420496</v>
      </c>
      <c r="C15" s="9">
        <v>1190.34073711887</v>
      </c>
      <c r="F15" t="s">
        <v>41</v>
      </c>
      <c r="G15">
        <v>1195.7502955501307</v>
      </c>
    </row>
    <row r="16" spans="1:10" ht="15" thickBot="1" x14ac:dyDescent="0.35">
      <c r="A16" s="3" t="s">
        <v>13</v>
      </c>
      <c r="B16" s="4">
        <v>1008.7965189105699</v>
      </c>
      <c r="C16" s="9">
        <v>1340.85460702608</v>
      </c>
    </row>
    <row r="17" spans="1:3" ht="15" thickBot="1" x14ac:dyDescent="0.35">
      <c r="A17" s="3" t="s">
        <v>14</v>
      </c>
      <c r="B17" s="4">
        <v>1106.0449880536501</v>
      </c>
      <c r="C17" s="9">
        <v>1149.0822458206601</v>
      </c>
    </row>
    <row r="18" spans="1:3" ht="15" thickBot="1" x14ac:dyDescent="0.35">
      <c r="A18" s="3" t="s">
        <v>15</v>
      </c>
      <c r="B18" s="4">
        <v>1016.586025415284</v>
      </c>
      <c r="C18" s="9">
        <v>1226.2147313550299</v>
      </c>
    </row>
    <row r="19" spans="1:3" ht="15" thickBot="1" x14ac:dyDescent="0.35">
      <c r="A19" s="3" t="s">
        <v>16</v>
      </c>
      <c r="B19" s="4">
        <v>1068.9572309156815</v>
      </c>
      <c r="C19" s="9">
        <v>1076.5279997399086</v>
      </c>
    </row>
    <row r="20" spans="1:3" ht="15" thickBot="1" x14ac:dyDescent="0.35">
      <c r="A20" s="3" t="s">
        <v>17</v>
      </c>
      <c r="B20" s="4">
        <v>1000.0666666666666</v>
      </c>
      <c r="C20" s="9">
        <v>1325.3333333333333</v>
      </c>
    </row>
    <row r="21" spans="1:3" ht="15" thickBot="1" x14ac:dyDescent="0.35">
      <c r="A21" s="3" t="s">
        <v>18</v>
      </c>
      <c r="B21" s="4">
        <v>1032.4446482783387</v>
      </c>
      <c r="C21" s="9">
        <v>895.48987344493003</v>
      </c>
    </row>
    <row r="22" spans="1:3" ht="15" thickBot="1" x14ac:dyDescent="0.35">
      <c r="A22" s="3" t="s">
        <v>19</v>
      </c>
      <c r="B22" s="4">
        <v>1009.56085349024</v>
      </c>
      <c r="C22" s="9">
        <v>1152.7244570748801</v>
      </c>
    </row>
    <row r="23" spans="1:3" ht="15" thickBot="1" x14ac:dyDescent="0.35">
      <c r="A23" s="3" t="s">
        <v>20</v>
      </c>
      <c r="B23" s="4">
        <v>1047.7039807835356</v>
      </c>
      <c r="C23" s="9">
        <v>1157.2551108865398</v>
      </c>
    </row>
    <row r="24" spans="1:3" ht="15" thickBot="1" x14ac:dyDescent="0.35">
      <c r="A24" s="3" t="s">
        <v>21</v>
      </c>
      <c r="B24" s="4">
        <v>1002</v>
      </c>
      <c r="C24" s="9">
        <v>1140.1258167032699</v>
      </c>
    </row>
    <row r="25" spans="1:3" ht="15" thickBot="1" x14ac:dyDescent="0.35">
      <c r="A25" s="3" t="s">
        <v>22</v>
      </c>
      <c r="B25" s="4">
        <v>1064.6276672387444</v>
      </c>
      <c r="C25" s="9">
        <v>1316.95193229761</v>
      </c>
    </row>
    <row r="26" spans="1:3" ht="15" thickBot="1" x14ac:dyDescent="0.35">
      <c r="A26" s="3" t="s">
        <v>23</v>
      </c>
      <c r="B26" s="4">
        <v>966.60965193062839</v>
      </c>
      <c r="C26" s="9">
        <v>1537.08624241245</v>
      </c>
    </row>
    <row r="27" spans="1:3" ht="15" thickBot="1" x14ac:dyDescent="0.35">
      <c r="A27" s="3" t="s">
        <v>24</v>
      </c>
      <c r="B27" s="4">
        <v>1042.6815218774004</v>
      </c>
      <c r="C27" s="9">
        <v>1343.52337276091</v>
      </c>
    </row>
    <row r="28" spans="1:3" ht="15" thickBot="1" x14ac:dyDescent="0.35">
      <c r="A28" s="3" t="s">
        <v>25</v>
      </c>
      <c r="B28" s="4">
        <v>1072.6494935481323</v>
      </c>
      <c r="C28" s="9">
        <v>1172.3780060997101</v>
      </c>
    </row>
    <row r="29" spans="1:3" ht="15" thickBot="1" x14ac:dyDescent="0.35">
      <c r="A29" s="3" t="s">
        <v>26</v>
      </c>
      <c r="B29" s="4">
        <v>1029.6665876407706</v>
      </c>
      <c r="C29" s="9">
        <v>1380.7440894374499</v>
      </c>
    </row>
    <row r="30" spans="1:3" ht="15" thickBot="1" x14ac:dyDescent="0.35">
      <c r="A30" s="3" t="s">
        <v>27</v>
      </c>
      <c r="B30" s="4">
        <v>1071.5644526898609</v>
      </c>
      <c r="C30" s="9">
        <v>1389.85</v>
      </c>
    </row>
    <row r="31" spans="1:3" ht="15" thickBot="1" x14ac:dyDescent="0.35">
      <c r="A31" s="3" t="s">
        <v>28</v>
      </c>
      <c r="B31" s="4">
        <v>1086.3613159424251</v>
      </c>
      <c r="C31" s="9">
        <v>1220.5266190294601</v>
      </c>
    </row>
    <row r="32" spans="1:3" ht="15" thickBot="1" x14ac:dyDescent="0.35">
      <c r="A32" s="3" t="s">
        <v>29</v>
      </c>
      <c r="B32" s="4">
        <v>973.44872962790305</v>
      </c>
      <c r="C32" s="9">
        <v>1242.2496416273862</v>
      </c>
    </row>
    <row r="33" spans="1:3" ht="15" thickBot="1" x14ac:dyDescent="0.35">
      <c r="A33" s="3" t="s">
        <v>30</v>
      </c>
      <c r="B33" s="4">
        <v>1051.727557265312</v>
      </c>
      <c r="C33" s="9">
        <v>1189.04823367884</v>
      </c>
    </row>
    <row r="34" spans="1:3" ht="15" thickBot="1" x14ac:dyDescent="0.35">
      <c r="A34" s="3" t="s">
        <v>31</v>
      </c>
      <c r="B34" s="4">
        <v>1030.7429628275222</v>
      </c>
      <c r="C34" s="9">
        <v>928.43985688749001</v>
      </c>
    </row>
    <row r="35" spans="1:3" ht="15" thickBot="1" x14ac:dyDescent="0.35">
      <c r="A35" s="3" t="s">
        <v>32</v>
      </c>
      <c r="B35" s="4">
        <v>1116.8115997626001</v>
      </c>
      <c r="C35" s="9">
        <v>945.09474662741002</v>
      </c>
    </row>
    <row r="36" spans="1:3" ht="15" thickBot="1" x14ac:dyDescent="0.35">
      <c r="A36" s="3" t="s">
        <v>33</v>
      </c>
      <c r="B36" s="4">
        <v>1055.4908480870617</v>
      </c>
      <c r="C36" s="9">
        <v>1405.35572020621</v>
      </c>
    </row>
    <row r="37" spans="1:3" ht="15" thickBot="1" x14ac:dyDescent="0.35">
      <c r="A37" s="3" t="s">
        <v>34</v>
      </c>
      <c r="B37" s="4">
        <v>1134.7317862777957</v>
      </c>
      <c r="C37" s="9">
        <v>1228.9234143586903</v>
      </c>
    </row>
    <row r="38" spans="1:3" ht="15" thickBot="1" x14ac:dyDescent="0.35">
      <c r="A38" s="3" t="s">
        <v>35</v>
      </c>
      <c r="B38" s="4">
        <v>1038.0130892545455</v>
      </c>
      <c r="C38" s="9">
        <v>1355.3519409800001</v>
      </c>
    </row>
    <row r="39" spans="1:3" x14ac:dyDescent="0.3">
      <c r="A39" s="5" t="s">
        <v>41</v>
      </c>
      <c r="B39" s="7">
        <v>1051.93</v>
      </c>
      <c r="C39" s="11">
        <f>AVERAGE(C2:C38)</f>
        <v>1195.7502955501307</v>
      </c>
    </row>
    <row r="40" spans="1:3" x14ac:dyDescent="0.3">
      <c r="B40" s="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CDB1-9C09-41C4-ADD5-A4E9B5DBBEE7}">
  <dimension ref="A1:J39"/>
  <sheetViews>
    <sheetView tabSelected="1" topLeftCell="A4" workbookViewId="0">
      <selection activeCell="N2" sqref="N2"/>
    </sheetView>
  </sheetViews>
  <sheetFormatPr defaultRowHeight="14.4" x14ac:dyDescent="0.3"/>
  <cols>
    <col min="1" max="1" width="19.6640625" customWidth="1"/>
    <col min="3" max="3" width="11.44140625" style="10" bestFit="1" customWidth="1"/>
  </cols>
  <sheetData>
    <row r="1" spans="1:3" ht="43.8" thickBot="1" x14ac:dyDescent="0.35">
      <c r="A1" s="1"/>
      <c r="B1" t="s">
        <v>43</v>
      </c>
      <c r="C1" s="8" t="s">
        <v>46</v>
      </c>
    </row>
    <row r="2" spans="1:3" ht="15" thickBot="1" x14ac:dyDescent="0.35">
      <c r="A2" s="3" t="s">
        <v>0</v>
      </c>
      <c r="B2">
        <v>1247.8383212781428</v>
      </c>
      <c r="C2" s="9">
        <v>850.17713142670004</v>
      </c>
    </row>
    <row r="3" spans="1:3" ht="15" thickBot="1" x14ac:dyDescent="0.35">
      <c r="A3" s="3" t="s">
        <v>40</v>
      </c>
      <c r="B3">
        <v>1268.490545484879</v>
      </c>
      <c r="C3" s="9">
        <v>1353.9718618078193</v>
      </c>
    </row>
    <row r="4" spans="1:3" ht="15" thickBot="1" x14ac:dyDescent="0.35">
      <c r="A4" s="3" t="s">
        <v>1</v>
      </c>
      <c r="B4">
        <v>1350.7321650796703</v>
      </c>
      <c r="C4" s="9">
        <v>911.16</v>
      </c>
    </row>
    <row r="5" spans="1:3" ht="15" thickBot="1" x14ac:dyDescent="0.35">
      <c r="A5" s="3" t="s">
        <v>2</v>
      </c>
      <c r="B5">
        <v>1301.5161371166655</v>
      </c>
      <c r="C5" s="9">
        <v>1375.0771199678099</v>
      </c>
    </row>
    <row r="6" spans="1:3" ht="15" thickBot="1" x14ac:dyDescent="0.35">
      <c r="A6" s="3" t="s">
        <v>3</v>
      </c>
      <c r="B6">
        <v>1441.2242798133802</v>
      </c>
      <c r="C6" s="9">
        <v>1289.926125</v>
      </c>
    </row>
    <row r="7" spans="1:3" ht="15" thickBot="1" x14ac:dyDescent="0.35">
      <c r="A7" s="3" t="s">
        <v>4</v>
      </c>
      <c r="B7">
        <v>1290.4728792180795</v>
      </c>
      <c r="C7" s="9">
        <v>1413.1364394241798</v>
      </c>
    </row>
    <row r="8" spans="1:3" ht="15" thickBot="1" x14ac:dyDescent="0.35">
      <c r="A8" s="3" t="s">
        <v>5</v>
      </c>
      <c r="B8">
        <v>1252.4847963316722</v>
      </c>
      <c r="C8" s="9">
        <v>1273.7551000000001</v>
      </c>
    </row>
    <row r="9" spans="1:3" ht="15" thickBot="1" x14ac:dyDescent="0.35">
      <c r="A9" s="3" t="s">
        <v>6</v>
      </c>
      <c r="B9">
        <v>1303.6794292396801</v>
      </c>
      <c r="C9" s="9">
        <v>1573.8280192109567</v>
      </c>
    </row>
    <row r="10" spans="1:3" ht="15" thickBot="1" x14ac:dyDescent="0.35">
      <c r="A10" s="3" t="s">
        <v>7</v>
      </c>
      <c r="B10">
        <v>1375.16229181218</v>
      </c>
      <c r="C10" s="9">
        <v>1499.78672901046</v>
      </c>
    </row>
    <row r="11" spans="1:3" ht="15" thickBot="1" x14ac:dyDescent="0.35">
      <c r="A11" s="3" t="s">
        <v>8</v>
      </c>
      <c r="B11">
        <v>1365.0226376598357</v>
      </c>
      <c r="C11" s="9">
        <v>1474.2036617553299</v>
      </c>
    </row>
    <row r="12" spans="1:3" ht="15" thickBot="1" x14ac:dyDescent="0.35">
      <c r="A12" s="3" t="s">
        <v>9</v>
      </c>
      <c r="B12">
        <v>1279.6018592146163</v>
      </c>
      <c r="C12" s="9">
        <v>1480.3207273764899</v>
      </c>
    </row>
    <row r="13" spans="1:3" ht="15" thickBot="1" x14ac:dyDescent="0.35">
      <c r="A13" s="3" t="s">
        <v>10</v>
      </c>
      <c r="B13">
        <v>1287.9259111482986</v>
      </c>
      <c r="C13" s="9">
        <v>1362.0481337465999</v>
      </c>
    </row>
    <row r="14" spans="1:3" ht="15" thickBot="1" x14ac:dyDescent="0.35">
      <c r="A14" s="3" t="s">
        <v>11</v>
      </c>
      <c r="B14">
        <v>1315.0849964610979</v>
      </c>
      <c r="C14" s="9">
        <v>1398.7476785321101</v>
      </c>
    </row>
    <row r="15" spans="1:3" ht="15" thickBot="1" x14ac:dyDescent="0.35">
      <c r="A15" s="3" t="s">
        <v>12</v>
      </c>
      <c r="B15">
        <v>1246.1584492537261</v>
      </c>
      <c r="C15" s="9">
        <v>1353.73451172662</v>
      </c>
    </row>
    <row r="16" spans="1:3" ht="15" thickBot="1" x14ac:dyDescent="0.35">
      <c r="A16" s="3" t="s">
        <v>13</v>
      </c>
      <c r="B16">
        <v>1308.2152442462375</v>
      </c>
      <c r="C16" s="9">
        <v>1561.1163833112078</v>
      </c>
    </row>
    <row r="17" spans="1:3" ht="15" thickBot="1" x14ac:dyDescent="0.35">
      <c r="A17" s="3" t="s">
        <v>14</v>
      </c>
      <c r="B17">
        <v>1334.8319859677281</v>
      </c>
      <c r="C17" s="9">
        <v>1312.89545292909</v>
      </c>
    </row>
    <row r="18" spans="1:3" ht="15" thickBot="1" x14ac:dyDescent="0.35">
      <c r="A18" s="3" t="s">
        <v>15</v>
      </c>
      <c r="B18">
        <v>1291.0984925442067</v>
      </c>
      <c r="C18" s="9">
        <v>1390.0278951222299</v>
      </c>
    </row>
    <row r="19" spans="1:3" ht="15" thickBot="1" x14ac:dyDescent="0.35">
      <c r="A19" s="3" t="s">
        <v>16</v>
      </c>
      <c r="B19">
        <v>1270.0622189492019</v>
      </c>
      <c r="C19" s="9">
        <v>1208.3887777190955</v>
      </c>
    </row>
    <row r="20" spans="1:3" ht="15" thickBot="1" x14ac:dyDescent="0.35">
      <c r="A20" s="3" t="s">
        <v>17</v>
      </c>
      <c r="B20">
        <v>1193.3979999999999</v>
      </c>
      <c r="C20" s="9">
        <v>1467.1440000000002</v>
      </c>
    </row>
    <row r="21" spans="1:3" ht="15" thickBot="1" x14ac:dyDescent="0.35">
      <c r="A21" s="3" t="s">
        <v>18</v>
      </c>
      <c r="B21">
        <v>1280.1399870269354</v>
      </c>
      <c r="C21" s="9">
        <v>1046.31441188803</v>
      </c>
    </row>
    <row r="22" spans="1:3" ht="15" thickBot="1" x14ac:dyDescent="0.35">
      <c r="A22" s="3" t="s">
        <v>19</v>
      </c>
      <c r="B22">
        <v>1356.4050026719995</v>
      </c>
      <c r="C22" s="9">
        <v>1398.1538953059014</v>
      </c>
    </row>
    <row r="23" spans="1:3" ht="15" thickBot="1" x14ac:dyDescent="0.35">
      <c r="A23" s="3" t="s">
        <v>20</v>
      </c>
      <c r="B23">
        <v>1337.2598090124986</v>
      </c>
      <c r="C23" s="9">
        <v>1281.0814077513999</v>
      </c>
    </row>
    <row r="24" spans="1:3" ht="15" thickBot="1" x14ac:dyDescent="0.35">
      <c r="A24" s="3" t="s">
        <v>21</v>
      </c>
      <c r="B24">
        <v>1217.24</v>
      </c>
      <c r="C24" s="9">
        <v>1326.6622790905201</v>
      </c>
    </row>
    <row r="25" spans="1:3" ht="15" thickBot="1" x14ac:dyDescent="0.35">
      <c r="A25" s="3" t="s">
        <v>22</v>
      </c>
      <c r="B25">
        <v>1224.2773826855569</v>
      </c>
      <c r="C25" s="9">
        <v>1474.9574613555901</v>
      </c>
    </row>
    <row r="26" spans="1:3" ht="15" thickBot="1" x14ac:dyDescent="0.35">
      <c r="A26" s="3" t="s">
        <v>23</v>
      </c>
      <c r="B26">
        <v>1162.7059656525198</v>
      </c>
      <c r="C26" s="9">
        <v>1694.47260379457</v>
      </c>
    </row>
    <row r="27" spans="1:3" ht="15" thickBot="1" x14ac:dyDescent="0.35">
      <c r="A27" s="3" t="s">
        <v>24</v>
      </c>
      <c r="B27">
        <v>1213.7957316349139</v>
      </c>
      <c r="C27" s="9">
        <v>1484.3033859534</v>
      </c>
    </row>
    <row r="28" spans="1:3" ht="15" thickBot="1" x14ac:dyDescent="0.35">
      <c r="A28" s="3" t="s">
        <v>25</v>
      </c>
      <c r="B28">
        <v>1328.4224461270396</v>
      </c>
      <c r="C28" s="9">
        <v>1313.06534984427</v>
      </c>
    </row>
    <row r="29" spans="1:3" ht="15" thickBot="1" x14ac:dyDescent="0.35">
      <c r="A29" s="3" t="s">
        <v>26</v>
      </c>
      <c r="B29">
        <v>1169.7818393190885</v>
      </c>
      <c r="C29" s="9">
        <v>1489.5637070072601</v>
      </c>
    </row>
    <row r="30" spans="1:3" ht="15" thickBot="1" x14ac:dyDescent="0.35">
      <c r="A30" s="3" t="s">
        <v>27</v>
      </c>
      <c r="B30">
        <v>1287.8252196603446</v>
      </c>
      <c r="C30" s="9">
        <v>1491.8289500000001</v>
      </c>
    </row>
    <row r="31" spans="1:3" ht="15" thickBot="1" x14ac:dyDescent="0.35">
      <c r="A31" s="3" t="s">
        <v>28</v>
      </c>
      <c r="B31">
        <v>1256.9570215394829</v>
      </c>
      <c r="C31" s="9">
        <v>1594.4481432384234</v>
      </c>
    </row>
    <row r="32" spans="1:3" ht="15" thickBot="1" x14ac:dyDescent="0.35">
      <c r="A32" s="3" t="s">
        <v>29</v>
      </c>
      <c r="B32">
        <v>1271.3053739558022</v>
      </c>
      <c r="C32" s="9">
        <v>1375.1703532815161</v>
      </c>
    </row>
    <row r="33" spans="1:10" ht="15" thickBot="1" x14ac:dyDescent="0.35">
      <c r="A33" s="3" t="s">
        <v>30</v>
      </c>
      <c r="B33">
        <v>1252.4481732820404</v>
      </c>
      <c r="C33" s="9">
        <v>1301.8763946824799</v>
      </c>
    </row>
    <row r="34" spans="1:10" ht="15" thickBot="1" x14ac:dyDescent="0.35">
      <c r="A34" s="3" t="s">
        <v>31</v>
      </c>
      <c r="B34">
        <v>1247.8375532391431</v>
      </c>
      <c r="C34" s="9">
        <v>1088.28292157445</v>
      </c>
    </row>
    <row r="35" spans="1:10" ht="15" thickBot="1" x14ac:dyDescent="0.35">
      <c r="A35" s="3" t="s">
        <v>32</v>
      </c>
      <c r="B35">
        <v>1377.5542414974232</v>
      </c>
      <c r="C35" s="9">
        <v>1117.6198845165</v>
      </c>
    </row>
    <row r="36" spans="1:10" ht="15" thickBot="1" x14ac:dyDescent="0.35">
      <c r="A36" s="3" t="s">
        <v>33</v>
      </c>
      <c r="B36">
        <v>1305.7440770852045</v>
      </c>
      <c r="C36" s="9">
        <v>1678.2087822682799</v>
      </c>
      <c r="H36" t="s">
        <v>41</v>
      </c>
      <c r="I36">
        <v>1288.06</v>
      </c>
      <c r="J36">
        <v>1373.4885897882295</v>
      </c>
    </row>
    <row r="37" spans="1:10" ht="15" thickBot="1" x14ac:dyDescent="0.35">
      <c r="A37" s="3" t="s">
        <v>34</v>
      </c>
      <c r="B37">
        <v>1362.0517668263194</v>
      </c>
      <c r="C37" s="9">
        <v>1391.8475438803575</v>
      </c>
    </row>
    <row r="38" spans="1:10" ht="15" thickBot="1" x14ac:dyDescent="0.35">
      <c r="A38" s="3" t="s">
        <v>35</v>
      </c>
      <c r="B38">
        <v>1301.3054876896451</v>
      </c>
      <c r="C38" s="9">
        <v>1721.7745986648602</v>
      </c>
    </row>
    <row r="39" spans="1:10" x14ac:dyDescent="0.3">
      <c r="A39" s="5"/>
      <c r="C3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GEOINFOTECH</cp:lastModifiedBy>
  <dcterms:created xsi:type="dcterms:W3CDTF">2026-02-21T18:00:09Z</dcterms:created>
  <dcterms:modified xsi:type="dcterms:W3CDTF">2026-05-21T15:00:44Z</dcterms:modified>
</cp:coreProperties>
</file>